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Repos\Bread_porosity_scan\Test\"/>
    </mc:Choice>
  </mc:AlternateContent>
  <xr:revisionPtr revIDLastSave="0" documentId="13_ncr:1_{EB435783-8D49-4EDB-B750-269B688A7CA0}" xr6:coauthVersionLast="47" xr6:coauthVersionMax="47" xr10:uidLastSave="{00000000-0000-0000-0000-000000000000}"/>
  <bookViews>
    <workbookView xWindow="-110" yWindow="-110" windowWidth="19420" windowHeight="10420" firstSheet="1" activeTab="1" xr2:uid="{2573E81A-6BAB-44BA-8423-E24BE3525652}"/>
  </bookViews>
  <sheets>
    <sheet name="6_BreadCrumbPorosity" sheetId="1" state="hidden" r:id="rId1"/>
    <sheet name="6_BreadCrumbPorosity_new_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1" i="2" l="1" a="1"/>
  <c r="U11" i="2" s="1"/>
  <c r="T11" i="2"/>
  <c r="S11" i="2" a="1"/>
  <c r="S11" i="2" s="1"/>
  <c r="R11" i="2"/>
  <c r="Z11" i="2" s="1"/>
  <c r="Q11" i="2" a="1"/>
  <c r="Q11" i="2" s="1"/>
  <c r="P11" i="2"/>
  <c r="O11" i="2"/>
  <c r="O11" i="2" a="1"/>
  <c r="N11" i="2"/>
  <c r="M11" i="2" a="1"/>
  <c r="M11" i="2" s="1"/>
  <c r="L11" i="2"/>
  <c r="W11" i="2" s="1"/>
  <c r="U10" i="2" a="1"/>
  <c r="U10" i="2" s="1"/>
  <c r="T10" i="2"/>
  <c r="S10" i="2" a="1"/>
  <c r="S10" i="2" s="1"/>
  <c r="R10" i="2"/>
  <c r="Q10" i="2" a="1"/>
  <c r="Q10" i="2" s="1"/>
  <c r="P10" i="2"/>
  <c r="O10" i="2" a="1"/>
  <c r="O10" i="2" s="1"/>
  <c r="N10" i="2"/>
  <c r="M10" i="2" a="1"/>
  <c r="M10" i="2" s="1"/>
  <c r="L10" i="2"/>
  <c r="U9" i="2" a="1"/>
  <c r="U9" i="2" s="1"/>
  <c r="T9" i="2"/>
  <c r="S9" i="2" a="1"/>
  <c r="S9" i="2" s="1"/>
  <c r="R9" i="2"/>
  <c r="Q9" i="2" a="1"/>
  <c r="Q9" i="2" s="1"/>
  <c r="P9" i="2"/>
  <c r="O9" i="2"/>
  <c r="O9" i="2" a="1"/>
  <c r="N9" i="2"/>
  <c r="M9" i="2" a="1"/>
  <c r="M9" i="2" s="1"/>
  <c r="L9" i="2"/>
  <c r="W9" i="2" s="1"/>
  <c r="U8" i="2" a="1"/>
  <c r="U8" i="2" s="1"/>
  <c r="T8" i="2"/>
  <c r="S8" i="2" a="1"/>
  <c r="S8" i="2" s="1"/>
  <c r="R8" i="2"/>
  <c r="Q8" i="2" a="1"/>
  <c r="Q8" i="2" s="1"/>
  <c r="P8" i="2"/>
  <c r="O8" i="2"/>
  <c r="O8" i="2" a="1"/>
  <c r="N8" i="2"/>
  <c r="M8" i="2" a="1"/>
  <c r="M8" i="2" s="1"/>
  <c r="L8" i="2"/>
  <c r="U7" i="2" a="1"/>
  <c r="U7" i="2" s="1"/>
  <c r="T7" i="2"/>
  <c r="S7" i="2" a="1"/>
  <c r="S7" i="2" s="1"/>
  <c r="R7" i="2"/>
  <c r="Q7" i="2" a="1"/>
  <c r="Q7" i="2" s="1"/>
  <c r="P7" i="2"/>
  <c r="O7" i="2"/>
  <c r="O7" i="2" a="1"/>
  <c r="N7" i="2"/>
  <c r="M7" i="2" a="1"/>
  <c r="M7" i="2" s="1"/>
  <c r="L7" i="2"/>
  <c r="U6" i="2" a="1"/>
  <c r="U6" i="2" s="1"/>
  <c r="T6" i="2"/>
  <c r="S6" i="2" a="1"/>
  <c r="S6" i="2" s="1"/>
  <c r="R6" i="2"/>
  <c r="Q6" i="2" a="1"/>
  <c r="Q6" i="2" s="1"/>
  <c r="P6" i="2"/>
  <c r="O6" i="2"/>
  <c r="O6" i="2" a="1"/>
  <c r="N6" i="2"/>
  <c r="M6" i="2" a="1"/>
  <c r="M6" i="2" s="1"/>
  <c r="L6" i="2"/>
  <c r="U5" i="2" a="1"/>
  <c r="U5" i="2" s="1"/>
  <c r="T5" i="2"/>
  <c r="S5" i="2" a="1"/>
  <c r="S5" i="2" s="1"/>
  <c r="R5" i="2"/>
  <c r="Q5" i="2" a="1"/>
  <c r="Q5" i="2" s="1"/>
  <c r="P5" i="2"/>
  <c r="Y5" i="2" s="1"/>
  <c r="O5" i="2"/>
  <c r="O5" i="2" a="1"/>
  <c r="N5" i="2"/>
  <c r="M5" i="2" a="1"/>
  <c r="M5" i="2" s="1"/>
  <c r="L5" i="2"/>
  <c r="U4" i="2" a="1"/>
  <c r="U4" i="2" s="1"/>
  <c r="T4" i="2"/>
  <c r="S4" i="2" a="1"/>
  <c r="S4" i="2" s="1"/>
  <c r="R4" i="2"/>
  <c r="Z4" i="2" s="1"/>
  <c r="Q4" i="2" a="1"/>
  <c r="Q4" i="2" s="1"/>
  <c r="Y4" i="2" s="1"/>
  <c r="P4" i="2"/>
  <c r="O4" i="2" a="1"/>
  <c r="O4" i="2" s="1"/>
  <c r="N4" i="2"/>
  <c r="M4" i="2" a="1"/>
  <c r="M4" i="2" s="1"/>
  <c r="L4" i="2"/>
  <c r="U3" i="2" a="1"/>
  <c r="U3" i="2" s="1"/>
  <c r="T3" i="2"/>
  <c r="S3" i="2" a="1"/>
  <c r="S3" i="2" s="1"/>
  <c r="R3" i="2"/>
  <c r="Z3" i="2" s="1"/>
  <c r="Q3" i="2" a="1"/>
  <c r="Q3" i="2" s="1"/>
  <c r="Y3" i="2" s="1"/>
  <c r="P3" i="2"/>
  <c r="O3" i="2" a="1"/>
  <c r="O3" i="2" s="1"/>
  <c r="N3" i="2"/>
  <c r="M3" i="2" a="1"/>
  <c r="M3" i="2" s="1"/>
  <c r="W3" i="2" s="1"/>
  <c r="L3" i="2"/>
  <c r="U11" i="1" a="1"/>
  <c r="U11" i="1" s="1"/>
  <c r="T11" i="1"/>
  <c r="AA11" i="1" s="1"/>
  <c r="S11" i="1" a="1"/>
  <c r="S11" i="1" s="1"/>
  <c r="R11" i="1"/>
  <c r="Z11" i="1" s="1"/>
  <c r="Q11" i="1"/>
  <c r="Q11" i="1" a="1"/>
  <c r="P11" i="1"/>
  <c r="Y11" i="1" s="1"/>
  <c r="O11" i="1" a="1"/>
  <c r="O11" i="1" s="1"/>
  <c r="X11" i="1" s="1"/>
  <c r="N11" i="1"/>
  <c r="M11" i="1" a="1"/>
  <c r="M11" i="1" s="1"/>
  <c r="L11" i="1"/>
  <c r="W11" i="1" s="1"/>
  <c r="U10" i="1" a="1"/>
  <c r="U10" i="1" s="1"/>
  <c r="T10" i="1"/>
  <c r="S10" i="1" a="1"/>
  <c r="S10" i="1" s="1"/>
  <c r="R10" i="1"/>
  <c r="Z10" i="1" s="1"/>
  <c r="Q10" i="1"/>
  <c r="Q10" i="1" a="1"/>
  <c r="P10" i="1"/>
  <c r="Y10" i="1" s="1"/>
  <c r="O10" i="1" a="1"/>
  <c r="O10" i="1" s="1"/>
  <c r="X10" i="1" s="1"/>
  <c r="N10" i="1"/>
  <c r="M10" i="1" a="1"/>
  <c r="M10" i="1" s="1"/>
  <c r="L10" i="1"/>
  <c r="W10" i="1" s="1"/>
  <c r="U9" i="1" a="1"/>
  <c r="U9" i="1" s="1"/>
  <c r="T9" i="1"/>
  <c r="S9" i="1" a="1"/>
  <c r="S9" i="1" s="1"/>
  <c r="R9" i="1"/>
  <c r="Z9" i="1" s="1"/>
  <c r="Q9" i="1"/>
  <c r="Y9" i="1" s="1"/>
  <c r="Q9" i="1" a="1"/>
  <c r="P9" i="1"/>
  <c r="O9" i="1" a="1"/>
  <c r="O9" i="1" s="1"/>
  <c r="X9" i="1" s="1"/>
  <c r="N9" i="1"/>
  <c r="M9" i="1" a="1"/>
  <c r="M9" i="1" s="1"/>
  <c r="L9" i="1"/>
  <c r="U8" i="1" a="1"/>
  <c r="U8" i="1" s="1"/>
  <c r="T8" i="1"/>
  <c r="S8" i="1" a="1"/>
  <c r="S8" i="1" s="1"/>
  <c r="R8" i="1"/>
  <c r="Q8" i="1"/>
  <c r="Y8" i="1" s="1"/>
  <c r="Q8" i="1" a="1"/>
  <c r="P8" i="1"/>
  <c r="O8" i="1" a="1"/>
  <c r="O8" i="1" s="1"/>
  <c r="X8" i="1" s="1"/>
  <c r="N8" i="1"/>
  <c r="M8" i="1" a="1"/>
  <c r="M8" i="1" s="1"/>
  <c r="L8" i="1"/>
  <c r="U7" i="1" a="1"/>
  <c r="U7" i="1" s="1"/>
  <c r="T7" i="1"/>
  <c r="AA7" i="1" s="1"/>
  <c r="S7" i="1" a="1"/>
  <c r="S7" i="1" s="1"/>
  <c r="R7" i="1"/>
  <c r="Q7" i="1"/>
  <c r="Y7" i="1" s="1"/>
  <c r="Q7" i="1" a="1"/>
  <c r="P7" i="1"/>
  <c r="O7" i="1" a="1"/>
  <c r="O7" i="1" s="1"/>
  <c r="X7" i="1" s="1"/>
  <c r="N7" i="1"/>
  <c r="M7" i="1" a="1"/>
  <c r="M7" i="1" s="1"/>
  <c r="L7" i="1"/>
  <c r="W7" i="1" s="1"/>
  <c r="U6" i="1" a="1"/>
  <c r="U6" i="1" s="1"/>
  <c r="T6" i="1"/>
  <c r="S6" i="1" a="1"/>
  <c r="S6" i="1" s="1"/>
  <c r="R6" i="1"/>
  <c r="Z6" i="1" s="1"/>
  <c r="Q6" i="1"/>
  <c r="Y6" i="1" s="1"/>
  <c r="Q6" i="1" a="1"/>
  <c r="P6" i="1"/>
  <c r="O6" i="1" a="1"/>
  <c r="O6" i="1" s="1"/>
  <c r="X6" i="1" s="1"/>
  <c r="N6" i="1"/>
  <c r="M6" i="1" a="1"/>
  <c r="M6" i="1" s="1"/>
  <c r="L6" i="1"/>
  <c r="W6" i="1" s="1"/>
  <c r="U5" i="1" a="1"/>
  <c r="U5" i="1" s="1"/>
  <c r="T5" i="1"/>
  <c r="S5" i="1" a="1"/>
  <c r="S5" i="1" s="1"/>
  <c r="R5" i="1"/>
  <c r="Z5" i="1" s="1"/>
  <c r="Q5" i="1"/>
  <c r="Y5" i="1" s="1"/>
  <c r="Q5" i="1" a="1"/>
  <c r="P5" i="1"/>
  <c r="O5" i="1" a="1"/>
  <c r="O5" i="1" s="1"/>
  <c r="X5" i="1" s="1"/>
  <c r="N5" i="1"/>
  <c r="M5" i="1" a="1"/>
  <c r="M5" i="1" s="1"/>
  <c r="L5" i="1"/>
  <c r="U4" i="1" a="1"/>
  <c r="U4" i="1" s="1"/>
  <c r="T4" i="1"/>
  <c r="AA4" i="1" s="1"/>
  <c r="S4" i="1" a="1"/>
  <c r="S4" i="1" s="1"/>
  <c r="R4" i="1"/>
  <c r="Q4" i="1"/>
  <c r="Y4" i="1" s="1"/>
  <c r="Q4" i="1" a="1"/>
  <c r="P4" i="1"/>
  <c r="O4" i="1" a="1"/>
  <c r="O4" i="1" s="1"/>
  <c r="X4" i="1" s="1"/>
  <c r="N4" i="1"/>
  <c r="M4" i="1" a="1"/>
  <c r="M4" i="1" s="1"/>
  <c r="L4" i="1"/>
  <c r="U3" i="1" a="1"/>
  <c r="U3" i="1" s="1"/>
  <c r="T3" i="1"/>
  <c r="AA3" i="1" s="1"/>
  <c r="S3" i="1" a="1"/>
  <c r="S3" i="1" s="1"/>
  <c r="R3" i="1"/>
  <c r="Q3" i="1"/>
  <c r="Y3" i="1" s="1"/>
  <c r="Q3" i="1" a="1"/>
  <c r="P3" i="1"/>
  <c r="O3" i="1" a="1"/>
  <c r="O3" i="1" s="1"/>
  <c r="X3" i="1" s="1"/>
  <c r="N3" i="1"/>
  <c r="M3" i="1" a="1"/>
  <c r="M3" i="1" s="1"/>
  <c r="L3" i="1"/>
  <c r="W3" i="1" s="1"/>
  <c r="AA3" i="2" l="1"/>
  <c r="AA9" i="2"/>
  <c r="AA10" i="2"/>
  <c r="Y10" i="2"/>
  <c r="W5" i="2"/>
  <c r="W6" i="2"/>
  <c r="W7" i="2"/>
  <c r="W8" i="2"/>
  <c r="X10" i="2"/>
  <c r="Y11" i="2"/>
  <c r="W4" i="2"/>
  <c r="X5" i="2"/>
  <c r="X6" i="2"/>
  <c r="Y6" i="2"/>
  <c r="X7" i="2"/>
  <c r="Y7" i="2"/>
  <c r="X8" i="2"/>
  <c r="Y8" i="2"/>
  <c r="X9" i="2"/>
  <c r="Y9" i="2"/>
  <c r="X11" i="2"/>
  <c r="AA11" i="2"/>
  <c r="X3" i="2"/>
  <c r="X4" i="2"/>
  <c r="AA4" i="2"/>
  <c r="Z5" i="2"/>
  <c r="AA5" i="2"/>
  <c r="Z6" i="2"/>
  <c r="AA6" i="2"/>
  <c r="Z7" i="2"/>
  <c r="AA7" i="2"/>
  <c r="Z8" i="2"/>
  <c r="AA8" i="2"/>
  <c r="Z9" i="2"/>
  <c r="W10" i="2"/>
  <c r="Z10" i="2"/>
  <c r="Z3" i="1"/>
  <c r="W4" i="1"/>
  <c r="AA5" i="1"/>
  <c r="Z7" i="1"/>
  <c r="W8" i="1"/>
  <c r="AA9" i="1"/>
  <c r="AA8" i="1"/>
  <c r="Z4" i="1"/>
  <c r="W5" i="1"/>
  <c r="AA6" i="1"/>
  <c r="Z8" i="1"/>
  <c r="W9" i="1"/>
  <c r="AA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<sst xmlns="http://schemas.openxmlformats.org/spreadsheetml/2006/main" count="180" uniqueCount="37">
  <si>
    <t>N</t>
  </si>
  <si>
    <t>Name</t>
  </si>
  <si>
    <t>Method of Measurement</t>
  </si>
  <si>
    <t xml:space="preserve">2D Porosity / Void Fraction (%) </t>
  </si>
  <si>
    <t>3D Corrected Estimated Vol. (%)</t>
  </si>
  <si>
    <t>Cell Count (valid pores)</t>
  </si>
  <si>
    <t>Cell Density (cells/cm²)</t>
  </si>
  <si>
    <t>Mean Cell Area (mm² per pore)</t>
  </si>
  <si>
    <t>Date</t>
  </si>
  <si>
    <t>Summary Statistics by Test</t>
  </si>
  <si>
    <t>Coefficient of Variation (%)</t>
  </si>
  <si>
    <t>Flour</t>
  </si>
  <si>
    <t>Ruler</t>
  </si>
  <si>
    <t>Test Name</t>
  </si>
  <si>
    <t>Avg 2D Porosity (%)</t>
  </si>
  <si>
    <t>SD 2D Porosity (%)</t>
  </si>
  <si>
    <t>Avg 3D Vol. (%)</t>
  </si>
  <si>
    <t>SD 3D Vol. (%)</t>
  </si>
  <si>
    <t>Avg Cell Count</t>
  </si>
  <si>
    <t>SD Cell Count</t>
  </si>
  <si>
    <t>Avg Cell Density (cells/cm²)</t>
  </si>
  <si>
    <t>SD Cell Density</t>
  </si>
  <si>
    <t>Avg Mean Cell Area (mm²)</t>
  </si>
  <si>
    <t>SD Mean Cell Area</t>
  </si>
  <si>
    <t>CV% 2D Porosity</t>
  </si>
  <si>
    <t>CV% 3D Vol.</t>
  </si>
  <si>
    <t>CV% Cell Count</t>
  </si>
  <si>
    <t>CV% Cell Density</t>
  </si>
  <si>
    <t>CV% Mean Cell Area</t>
  </si>
  <si>
    <t>10% BSG+70ppmE</t>
  </si>
  <si>
    <t>20% BSG+70ppmE</t>
  </si>
  <si>
    <t>10% BSG_fraction+70ppmE</t>
  </si>
  <si>
    <t>20% BSG_fraction+70ppmE</t>
  </si>
  <si>
    <t>10% BSG+140ppmE</t>
  </si>
  <si>
    <t>20% BSG+140ppmE</t>
  </si>
  <si>
    <t>10% BSG_fraction+140ppmE</t>
  </si>
  <si>
    <t>20% BSG_fraction+140ppmE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</si>
</sst>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 style="thin">
        <color rgb="FF4BACC6"/>
      </left>
      <right/>
      <top style="thin">
        <color rgb="FF4BACC6"/>
      </top>
      <bottom/>
      <diagonal/>
    </border>
    <border>
      <left/>
      <right/>
      <top style="thin">
        <color rgb="FF4BACC6"/>
      </top>
      <bottom/>
      <diagonal/>
    </border>
    <border>
      <left/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/>
      <top style="thin">
        <color rgb="FF4BACC6"/>
      </top>
      <bottom style="thin">
        <color rgb="FF4BACC6"/>
      </bottom>
      <diagonal/>
    </border>
    <border>
      <left/>
      <right/>
      <top style="thin">
        <color rgb="FF4BACC6"/>
      </top>
      <bottom style="thin">
        <color rgb="FF4BACC6"/>
      </bottom>
      <diagonal/>
    </border>
    <border>
      <left/>
      <right style="thin">
        <color rgb="FF4BACC6"/>
      </right>
      <top style="thin">
        <color rgb="FF4BACC6"/>
      </top>
      <bottom style="thin">
        <color rgb="FF4BACC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/>
    <xf numFmtId="10" fontId="0" fillId="0" borderId="0" xfId="0" applyNumberFormat="1"/>
    <xf numFmtId="14" fontId="0" fillId="0" borderId="0" xfId="0" applyNumberFormat="1"/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4" fillId="3" borderId="2" xfId="0" applyFont="1" applyFill="1" applyBorder="1"/>
    <xf numFmtId="164" fontId="4" fillId="3" borderId="3" xfId="0" applyNumberFormat="1" applyFont="1" applyFill="1" applyBorder="1"/>
    <xf numFmtId="1" fontId="4" fillId="3" borderId="3" xfId="0" applyNumberFormat="1" applyFont="1" applyFill="1" applyBorder="1"/>
    <xf numFmtId="2" fontId="4" fillId="3" borderId="3" xfId="0" applyNumberFormat="1" applyFont="1" applyFill="1" applyBorder="1"/>
    <xf numFmtId="165" fontId="4" fillId="3" borderId="3" xfId="0" applyNumberFormat="1" applyFont="1" applyFill="1" applyBorder="1"/>
    <xf numFmtId="165" fontId="4" fillId="3" borderId="4" xfId="0" applyNumberFormat="1" applyFont="1" applyFill="1" applyBorder="1"/>
    <xf numFmtId="0" fontId="4" fillId="3" borderId="5" xfId="0" applyFont="1" applyFill="1" applyBorder="1"/>
    <xf numFmtId="164" fontId="4" fillId="3" borderId="6" xfId="0" applyNumberFormat="1" applyFont="1" applyFill="1" applyBorder="1"/>
    <xf numFmtId="1" fontId="4" fillId="3" borderId="6" xfId="0" applyNumberFormat="1" applyFont="1" applyFill="1" applyBorder="1"/>
    <xf numFmtId="2" fontId="4" fillId="3" borderId="6" xfId="0" applyNumberFormat="1" applyFont="1" applyFill="1" applyBorder="1"/>
    <xf numFmtId="165" fontId="4" fillId="3" borderId="6" xfId="0" applyNumberFormat="1" applyFont="1" applyFill="1" applyBorder="1"/>
    <xf numFmtId="165" fontId="4" fillId="3" borderId="7" xfId="0" applyNumberFormat="1" applyFont="1" applyFill="1" applyBorder="1"/>
    <xf numFmtId="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166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wrapText="1"/>
    </dxf>
    <dxf>
      <numFmt numFmtId="166" formatCode="m/d/yyyy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Coefficient of Variation (%) by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'6_BreadCrumbPorosity'!$W$2</c:f>
              <c:strCache>
                <c:ptCount val="1"/>
                <c:pt idx="0">
                  <c:v>CV% 2D Porosity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'6_BreadCrumbPorosity'!$K$3:$K$11</c:f>
              <c:strCache>
                <c:ptCount val="9"/>
                <c:pt idx="0">
                  <c:v>Flour</c:v>
                </c:pt>
                <c:pt idx="1">
                  <c:v>10% BSG+70ppmE</c:v>
                </c:pt>
                <c:pt idx="2">
                  <c:v>20% BSG+70ppmE</c:v>
                </c:pt>
                <c:pt idx="3">
                  <c:v>10% BSG_fraction+70ppmE</c:v>
                </c:pt>
                <c:pt idx="4">
                  <c:v>20% BSG_fraction+70ppmE</c:v>
                </c:pt>
                <c:pt idx="5">
                  <c:v>10% BSG+140ppmE</c:v>
                </c:pt>
                <c:pt idx="6">
                  <c:v>20% BSG+140ppmE</c:v>
                </c:pt>
                <c:pt idx="7">
                  <c:v>10% BSG_fraction+140ppmE</c:v>
                </c:pt>
                <c:pt idx="8">
                  <c:v>20% BSG_fraction+140ppmE</c:v>
                </c:pt>
              </c:strCache>
            </c:strRef>
          </c:cat>
          <c:val>
            <c:numRef>
              <c:f>'6_BreadCrumbPorosity'!$W$3:$W$11</c:f>
              <c:numCache>
                <c:formatCode>0.0</c:formatCode>
                <c:ptCount val="9"/>
                <c:pt idx="0">
                  <c:v>8.7605038181842723</c:v>
                </c:pt>
                <c:pt idx="1">
                  <c:v>9.3443425301005441</c:v>
                </c:pt>
                <c:pt idx="2">
                  <c:v>20.046714329921485</c:v>
                </c:pt>
                <c:pt idx="3">
                  <c:v>17.465307376617947</c:v>
                </c:pt>
                <c:pt idx="4">
                  <c:v>5.2759917540609971</c:v>
                </c:pt>
                <c:pt idx="5">
                  <c:v>1.7255583191757846E-14</c:v>
                </c:pt>
                <c:pt idx="6">
                  <c:v>12.371989670709823</c:v>
                </c:pt>
                <c:pt idx="7">
                  <c:v>1.9521560244925029</c:v>
                </c:pt>
                <c:pt idx="8">
                  <c:v>2.8758166424615137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3-4BAE-8E3F-CA281BE06534}"/>
            </c:ext>
          </c:extLst>
        </c:ser>
        <c:ser>
          <c:idx val="1"/>
          <c:order val="1"/>
          <c:tx>
            <c:strRef>
              <c:f>'6_BreadCrumbPorosity'!$X$2</c:f>
              <c:strCache>
                <c:ptCount val="1"/>
                <c:pt idx="0">
                  <c:v>CV% 3D Vol.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'6_BreadCrumbPorosity'!$K$3:$K$11</c:f>
              <c:strCache>
                <c:ptCount val="9"/>
                <c:pt idx="0">
                  <c:v>Flour</c:v>
                </c:pt>
                <c:pt idx="1">
                  <c:v>10% BSG+70ppmE</c:v>
                </c:pt>
                <c:pt idx="2">
                  <c:v>20% BSG+70ppmE</c:v>
                </c:pt>
                <c:pt idx="3">
                  <c:v>10% BSG_fraction+70ppmE</c:v>
                </c:pt>
                <c:pt idx="4">
                  <c:v>20% BSG_fraction+70ppmE</c:v>
                </c:pt>
                <c:pt idx="5">
                  <c:v>10% BSG+140ppmE</c:v>
                </c:pt>
                <c:pt idx="6">
                  <c:v>20% BSG+140ppmE</c:v>
                </c:pt>
                <c:pt idx="7">
                  <c:v>10% BSG_fraction+140ppmE</c:v>
                </c:pt>
                <c:pt idx="8">
                  <c:v>20% BSG_fraction+140ppmE</c:v>
                </c:pt>
              </c:strCache>
            </c:strRef>
          </c:cat>
          <c:val>
            <c:numRef>
              <c:f>'6_BreadCrumbPorosity'!$X$3:$X$11</c:f>
              <c:numCache>
                <c:formatCode>0.0</c:formatCode>
                <c:ptCount val="9"/>
                <c:pt idx="0">
                  <c:v>8.728171032123754</c:v>
                </c:pt>
                <c:pt idx="1">
                  <c:v>9.3585436585657487</c:v>
                </c:pt>
                <c:pt idx="2">
                  <c:v>19.891779350413913</c:v>
                </c:pt>
                <c:pt idx="3">
                  <c:v>17.462063974927851</c:v>
                </c:pt>
                <c:pt idx="4">
                  <c:v>5.2517557470497014</c:v>
                </c:pt>
                <c:pt idx="5">
                  <c:v>0.19527066601678453</c:v>
                </c:pt>
                <c:pt idx="6">
                  <c:v>12.294773254145213</c:v>
                </c:pt>
                <c:pt idx="7">
                  <c:v>2.226780544724841</c:v>
                </c:pt>
                <c:pt idx="8">
                  <c:v>3.2203602961288311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3-4BAE-8E3F-CA281BE06534}"/>
            </c:ext>
          </c:extLst>
        </c:ser>
        <c:ser>
          <c:idx val="2"/>
          <c:order val="2"/>
          <c:tx>
            <c:strRef>
              <c:f>'6_BreadCrumbPorosity'!$Y$2</c:f>
              <c:strCache>
                <c:ptCount val="1"/>
                <c:pt idx="0">
                  <c:v>CV% Cell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'6_BreadCrumbPorosity'!$K$3:$K$11</c:f>
              <c:strCache>
                <c:ptCount val="9"/>
                <c:pt idx="0">
                  <c:v>Flour</c:v>
                </c:pt>
                <c:pt idx="1">
                  <c:v>10% BSG+70ppmE</c:v>
                </c:pt>
                <c:pt idx="2">
                  <c:v>20% BSG+70ppmE</c:v>
                </c:pt>
                <c:pt idx="3">
                  <c:v>10% BSG_fraction+70ppmE</c:v>
                </c:pt>
                <c:pt idx="4">
                  <c:v>20% BSG_fraction+70ppmE</c:v>
                </c:pt>
                <c:pt idx="5">
                  <c:v>10% BSG+140ppmE</c:v>
                </c:pt>
                <c:pt idx="6">
                  <c:v>20% BSG+140ppmE</c:v>
                </c:pt>
                <c:pt idx="7">
                  <c:v>10% BSG_fraction+140ppmE</c:v>
                </c:pt>
                <c:pt idx="8">
                  <c:v>20% BSG_fraction+140ppmE</c:v>
                </c:pt>
              </c:strCache>
            </c:strRef>
          </c:cat>
          <c:val>
            <c:numRef>
              <c:f>'6_BreadCrumbPorosity'!$Y$3:$Y$11</c:f>
              <c:numCache>
                <c:formatCode>0.0</c:formatCode>
                <c:ptCount val="9"/>
                <c:pt idx="0">
                  <c:v>10.218667718673322</c:v>
                </c:pt>
                <c:pt idx="1">
                  <c:v>11.91511110594289</c:v>
                </c:pt>
                <c:pt idx="2">
                  <c:v>12.246595592576341</c:v>
                </c:pt>
                <c:pt idx="3">
                  <c:v>9.7940489275820912</c:v>
                </c:pt>
                <c:pt idx="4">
                  <c:v>4.3372972312534275</c:v>
                </c:pt>
                <c:pt idx="5">
                  <c:v>6.1172329227962372</c:v>
                </c:pt>
                <c:pt idx="6">
                  <c:v>3.0140379541257212</c:v>
                </c:pt>
                <c:pt idx="7">
                  <c:v>5.1081068447543849</c:v>
                </c:pt>
                <c:pt idx="8">
                  <c:v>4.4508018514377214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3-4BAE-8E3F-CA281BE06534}"/>
            </c:ext>
          </c:extLst>
        </c:ser>
        <c:ser>
          <c:idx val="3"/>
          <c:order val="3"/>
          <c:tx>
            <c:strRef>
              <c:f>'6_BreadCrumbPorosity'!$Z$2</c:f>
              <c:strCache>
                <c:ptCount val="1"/>
                <c:pt idx="0">
                  <c:v>CV% Cell Density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'6_BreadCrumbPorosity'!$K$3:$K$11</c:f>
              <c:strCache>
                <c:ptCount val="9"/>
                <c:pt idx="0">
                  <c:v>Flour</c:v>
                </c:pt>
                <c:pt idx="1">
                  <c:v>10% BSG+70ppmE</c:v>
                </c:pt>
                <c:pt idx="2">
                  <c:v>20% BSG+70ppmE</c:v>
                </c:pt>
                <c:pt idx="3">
                  <c:v>10% BSG_fraction+70ppmE</c:v>
                </c:pt>
                <c:pt idx="4">
                  <c:v>20% BSG_fraction+70ppmE</c:v>
                </c:pt>
                <c:pt idx="5">
                  <c:v>10% BSG+140ppmE</c:v>
                </c:pt>
                <c:pt idx="6">
                  <c:v>20% BSG+140ppmE</c:v>
                </c:pt>
                <c:pt idx="7">
                  <c:v>10% BSG_fraction+140ppmE</c:v>
                </c:pt>
                <c:pt idx="8">
                  <c:v>20% BSG_fraction+140ppmE</c:v>
                </c:pt>
              </c:strCache>
            </c:strRef>
          </c:cat>
          <c:val>
            <c:numRef>
              <c:f>'6_BreadCrumbPorosity'!$Z$3:$Z$11</c:f>
              <c:numCache>
                <c:formatCode>0.0</c:formatCode>
                <c:ptCount val="9"/>
                <c:pt idx="0">
                  <c:v>11.154189749771778</c:v>
                </c:pt>
                <c:pt idx="1">
                  <c:v>8.3739157172149827</c:v>
                </c:pt>
                <c:pt idx="2">
                  <c:v>10.37014857850939</c:v>
                </c:pt>
                <c:pt idx="3">
                  <c:v>10.463435562540015</c:v>
                </c:pt>
                <c:pt idx="4">
                  <c:v>0.78467223076964387</c:v>
                </c:pt>
                <c:pt idx="5">
                  <c:v>2.9203410988020684</c:v>
                </c:pt>
                <c:pt idx="6">
                  <c:v>1.0856941619958795</c:v>
                </c:pt>
                <c:pt idx="7">
                  <c:v>4.1328562447468675</c:v>
                </c:pt>
                <c:pt idx="8">
                  <c:v>1.3853959807052405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C3-4BAE-8E3F-CA281BE06534}"/>
            </c:ext>
          </c:extLst>
        </c:ser>
        <c:ser>
          <c:idx val="4"/>
          <c:order val="4"/>
          <c:tx>
            <c:strRef>
              <c:f>'6_BreadCrumbPorosity'!$AA$2</c:f>
              <c:strCache>
                <c:ptCount val="1"/>
                <c:pt idx="0">
                  <c:v>CV% Mean Cell Area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'6_BreadCrumbPorosity'!$K$3:$K$11</c:f>
              <c:strCache>
                <c:ptCount val="9"/>
                <c:pt idx="0">
                  <c:v>Flour</c:v>
                </c:pt>
                <c:pt idx="1">
                  <c:v>10% BSG+70ppmE</c:v>
                </c:pt>
                <c:pt idx="2">
                  <c:v>20% BSG+70ppmE</c:v>
                </c:pt>
                <c:pt idx="3">
                  <c:v>10% BSG_fraction+70ppmE</c:v>
                </c:pt>
                <c:pt idx="4">
                  <c:v>20% BSG_fraction+70ppmE</c:v>
                </c:pt>
                <c:pt idx="5">
                  <c:v>10% BSG+140ppmE</c:v>
                </c:pt>
                <c:pt idx="6">
                  <c:v>20% BSG+140ppmE</c:v>
                </c:pt>
                <c:pt idx="7">
                  <c:v>10% BSG_fraction+140ppmE</c:v>
                </c:pt>
                <c:pt idx="8">
                  <c:v>20% BSG_fraction+140ppmE</c:v>
                </c:pt>
              </c:strCache>
            </c:strRef>
          </c:cat>
          <c:val>
            <c:numRef>
              <c:f>'6_BreadCrumbPorosity'!$AA$3:$AA$11</c:f>
              <c:numCache>
                <c:formatCode>0.0</c:formatCode>
                <c:ptCount val="9"/>
                <c:pt idx="0">
                  <c:v>18.779958375860421</c:v>
                </c:pt>
                <c:pt idx="1">
                  <c:v>16.210005414204957</c:v>
                </c:pt>
                <c:pt idx="2">
                  <c:v>12.458132647548583</c:v>
                </c:pt>
                <c:pt idx="3">
                  <c:v>28.003502508052296</c:v>
                </c:pt>
                <c:pt idx="4">
                  <c:v>4.373523954074046</c:v>
                </c:pt>
                <c:pt idx="5">
                  <c:v>2.9727542820950421</c:v>
                </c:pt>
                <c:pt idx="6">
                  <c:v>13.380166882340792</c:v>
                </c:pt>
                <c:pt idx="7">
                  <c:v>3.1169929166978561</c:v>
                </c:pt>
                <c:pt idx="8">
                  <c:v>3.341011710031335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C3-4BAE-8E3F-CA281BE06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510992"/>
        <c:axId val="1149511472"/>
      </c:barChart>
      <c:catAx>
        <c:axId val="114951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511472"/>
        <c:crosses val="autoZero"/>
        <c:auto val="1"/>
        <c:lblAlgn val="ctr"/>
        <c:lblOffset val="100"/>
        <c:noMultiLvlLbl val="0"/>
      </c:catAx>
      <c:valAx>
        <c:axId val="114951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51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Coefficient of Variation (%) by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'6_BreadCrumbPorosity_new_model'!$W$2</c:f>
              <c:strCache>
                <c:ptCount val="1"/>
                <c:pt idx="0">
                  <c:v>CV% 2D Porosity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'6_BreadCrumbPorosity_new_model'!$K$3:$K$11</c:f>
              <c:strCache>
                <c:ptCount val="9"/>
                <c:pt idx="0">
                  <c:v>Flour</c:v>
                </c:pt>
                <c:pt idx="1">
                  <c:v>10% BSG+70ppmE</c:v>
                </c:pt>
                <c:pt idx="2">
                  <c:v>20% BSG+70ppmE</c:v>
                </c:pt>
                <c:pt idx="3">
                  <c:v>10% BSG_fraction+70ppmE</c:v>
                </c:pt>
                <c:pt idx="4">
                  <c:v>20% BSG_fraction+70ppmE</c:v>
                </c:pt>
                <c:pt idx="5">
                  <c:v>10% BSG+140ppmE</c:v>
                </c:pt>
                <c:pt idx="6">
                  <c:v>20% BSG+140ppmE</c:v>
                </c:pt>
                <c:pt idx="7">
                  <c:v>10% BSG_fraction+140ppmE</c:v>
                </c:pt>
                <c:pt idx="8">
                  <c:v>20% BSG_fraction+140ppmE</c:v>
                </c:pt>
              </c:strCache>
            </c:strRef>
          </c:cat>
          <c:val>
            <c:numRef>
              <c:f>'6_BreadCrumbPorosity_new_model'!$W$3:$W$11</c:f>
              <c:numCache>
                <c:formatCode>0.0</c:formatCode>
                <c:ptCount val="9"/>
                <c:pt idx="0">
                  <c:v>7.232401157183603E-2</c:v>
                </c:pt>
                <c:pt idx="1">
                  <c:v>1.7518681805250496</c:v>
                </c:pt>
                <c:pt idx="2">
                  <c:v>27.511273347306791</c:v>
                </c:pt>
                <c:pt idx="3">
                  <c:v>6.5714498010925864</c:v>
                </c:pt>
                <c:pt idx="4">
                  <c:v>3.5333512458473111</c:v>
                </c:pt>
                <c:pt idx="5">
                  <c:v>10.563623225152128</c:v>
                </c:pt>
                <c:pt idx="6">
                  <c:v>14.068736941422111</c:v>
                </c:pt>
                <c:pt idx="7">
                  <c:v>6.7847902736982562</c:v>
                </c:pt>
                <c:pt idx="8">
                  <c:v>12.480118166365644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3-4252-9997-31FA57538341}"/>
            </c:ext>
          </c:extLst>
        </c:ser>
        <c:ser>
          <c:idx val="1"/>
          <c:order val="1"/>
          <c:tx>
            <c:strRef>
              <c:f>'6_BreadCrumbPorosity_new_model'!$X$2</c:f>
              <c:strCache>
                <c:ptCount val="1"/>
                <c:pt idx="0">
                  <c:v>CV% 3D Vol.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'6_BreadCrumbPorosity_new_model'!$K$3:$K$11</c:f>
              <c:strCache>
                <c:ptCount val="9"/>
                <c:pt idx="0">
                  <c:v>Flour</c:v>
                </c:pt>
                <c:pt idx="1">
                  <c:v>10% BSG+70ppmE</c:v>
                </c:pt>
                <c:pt idx="2">
                  <c:v>20% BSG+70ppmE</c:v>
                </c:pt>
                <c:pt idx="3">
                  <c:v>10% BSG_fraction+70ppmE</c:v>
                </c:pt>
                <c:pt idx="4">
                  <c:v>20% BSG_fraction+70ppmE</c:v>
                </c:pt>
                <c:pt idx="5">
                  <c:v>10% BSG+140ppmE</c:v>
                </c:pt>
                <c:pt idx="6">
                  <c:v>20% BSG+140ppmE</c:v>
                </c:pt>
                <c:pt idx="7">
                  <c:v>10% BSG_fraction+140ppmE</c:v>
                </c:pt>
                <c:pt idx="8">
                  <c:v>20% BSG_fraction+140ppmE</c:v>
                </c:pt>
              </c:strCache>
            </c:strRef>
          </c:cat>
          <c:val>
            <c:numRef>
              <c:f>'6_BreadCrumbPorosity_new_model'!$X$3:$X$11</c:f>
              <c:numCache>
                <c:formatCode>0.0</c:formatCode>
                <c:ptCount val="9"/>
                <c:pt idx="0">
                  <c:v>7.2476556434332276E-2</c:v>
                </c:pt>
                <c:pt idx="1">
                  <c:v>1.7562282208062985</c:v>
                </c:pt>
                <c:pt idx="2">
                  <c:v>27.524491073620368</c:v>
                </c:pt>
                <c:pt idx="3">
                  <c:v>6.5781779742657589</c:v>
                </c:pt>
                <c:pt idx="4">
                  <c:v>3.5256819752435886</c:v>
                </c:pt>
                <c:pt idx="5">
                  <c:v>10.578261043300282</c:v>
                </c:pt>
                <c:pt idx="6">
                  <c:v>14.061187405455094</c:v>
                </c:pt>
                <c:pt idx="7">
                  <c:v>6.7556175243229086</c:v>
                </c:pt>
                <c:pt idx="8">
                  <c:v>12.492669865338382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3-4252-9997-31FA57538341}"/>
            </c:ext>
          </c:extLst>
        </c:ser>
        <c:ser>
          <c:idx val="2"/>
          <c:order val="2"/>
          <c:tx>
            <c:strRef>
              <c:f>'6_BreadCrumbPorosity_new_model'!$Y$2</c:f>
              <c:strCache>
                <c:ptCount val="1"/>
                <c:pt idx="0">
                  <c:v>CV% Cell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'6_BreadCrumbPorosity_new_model'!$K$3:$K$11</c:f>
              <c:strCache>
                <c:ptCount val="9"/>
                <c:pt idx="0">
                  <c:v>Flour</c:v>
                </c:pt>
                <c:pt idx="1">
                  <c:v>10% BSG+70ppmE</c:v>
                </c:pt>
                <c:pt idx="2">
                  <c:v>20% BSG+70ppmE</c:v>
                </c:pt>
                <c:pt idx="3">
                  <c:v>10% BSG_fraction+70ppmE</c:v>
                </c:pt>
                <c:pt idx="4">
                  <c:v>20% BSG_fraction+70ppmE</c:v>
                </c:pt>
                <c:pt idx="5">
                  <c:v>10% BSG+140ppmE</c:v>
                </c:pt>
                <c:pt idx="6">
                  <c:v>20% BSG+140ppmE</c:v>
                </c:pt>
                <c:pt idx="7">
                  <c:v>10% BSG_fraction+140ppmE</c:v>
                </c:pt>
                <c:pt idx="8">
                  <c:v>20% BSG_fraction+140ppmE</c:v>
                </c:pt>
              </c:strCache>
            </c:strRef>
          </c:cat>
          <c:val>
            <c:numRef>
              <c:f>'6_BreadCrumbPorosity_new_model'!$Y$3:$Y$11</c:f>
              <c:numCache>
                <c:formatCode>0.0</c:formatCode>
                <c:ptCount val="9"/>
                <c:pt idx="0">
                  <c:v>1.4686524553281315</c:v>
                </c:pt>
                <c:pt idx="1">
                  <c:v>1.5087550588579073</c:v>
                </c:pt>
                <c:pt idx="2">
                  <c:v>24.872445106277837</c:v>
                </c:pt>
                <c:pt idx="3">
                  <c:v>8.9566959766801109</c:v>
                </c:pt>
                <c:pt idx="4">
                  <c:v>3.6813886922309762</c:v>
                </c:pt>
                <c:pt idx="5">
                  <c:v>28.102877981579343</c:v>
                </c:pt>
                <c:pt idx="6">
                  <c:v>3.1442125095943672</c:v>
                </c:pt>
                <c:pt idx="7">
                  <c:v>5.1923590109712014</c:v>
                </c:pt>
                <c:pt idx="8">
                  <c:v>2.6819029731657533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E3-4252-9997-31FA57538341}"/>
            </c:ext>
          </c:extLst>
        </c:ser>
        <c:ser>
          <c:idx val="3"/>
          <c:order val="3"/>
          <c:tx>
            <c:strRef>
              <c:f>'6_BreadCrumbPorosity_new_model'!$Z$2</c:f>
              <c:strCache>
                <c:ptCount val="1"/>
                <c:pt idx="0">
                  <c:v>CV% Cell Density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'6_BreadCrumbPorosity_new_model'!$K$3:$K$11</c:f>
              <c:strCache>
                <c:ptCount val="9"/>
                <c:pt idx="0">
                  <c:v>Flour</c:v>
                </c:pt>
                <c:pt idx="1">
                  <c:v>10% BSG+70ppmE</c:v>
                </c:pt>
                <c:pt idx="2">
                  <c:v>20% BSG+70ppmE</c:v>
                </c:pt>
                <c:pt idx="3">
                  <c:v>10% BSG_fraction+70ppmE</c:v>
                </c:pt>
                <c:pt idx="4">
                  <c:v>20% BSG_fraction+70ppmE</c:v>
                </c:pt>
                <c:pt idx="5">
                  <c:v>10% BSG+140ppmE</c:v>
                </c:pt>
                <c:pt idx="6">
                  <c:v>20% BSG+140ppmE</c:v>
                </c:pt>
                <c:pt idx="7">
                  <c:v>10% BSG_fraction+140ppmE</c:v>
                </c:pt>
                <c:pt idx="8">
                  <c:v>20% BSG_fraction+140ppmE</c:v>
                </c:pt>
              </c:strCache>
            </c:strRef>
          </c:cat>
          <c:val>
            <c:numRef>
              <c:f>'6_BreadCrumbPorosity_new_model'!$Z$3:$Z$11</c:f>
              <c:numCache>
                <c:formatCode>0.0</c:formatCode>
                <c:ptCount val="9"/>
                <c:pt idx="0">
                  <c:v>0.64677268907084617</c:v>
                </c:pt>
                <c:pt idx="1">
                  <c:v>1.2168598786360834</c:v>
                </c:pt>
                <c:pt idx="2">
                  <c:v>25.389850327924286</c:v>
                </c:pt>
                <c:pt idx="3">
                  <c:v>5.8455220837984889</c:v>
                </c:pt>
                <c:pt idx="4">
                  <c:v>2.1602809914205197</c:v>
                </c:pt>
                <c:pt idx="5">
                  <c:v>2.7339104816277766</c:v>
                </c:pt>
                <c:pt idx="6">
                  <c:v>2.9972099804446533</c:v>
                </c:pt>
                <c:pt idx="7">
                  <c:v>1.1927278368367191</c:v>
                </c:pt>
                <c:pt idx="8">
                  <c:v>3.5585532305554466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E3-4252-9997-31FA57538341}"/>
            </c:ext>
          </c:extLst>
        </c:ser>
        <c:ser>
          <c:idx val="4"/>
          <c:order val="4"/>
          <c:tx>
            <c:strRef>
              <c:f>'6_BreadCrumbPorosity_new_model'!$AA$2</c:f>
              <c:strCache>
                <c:ptCount val="1"/>
                <c:pt idx="0">
                  <c:v>CV% Mean Cell Area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'6_BreadCrumbPorosity_new_model'!$K$3:$K$11</c:f>
              <c:strCache>
                <c:ptCount val="9"/>
                <c:pt idx="0">
                  <c:v>Flour</c:v>
                </c:pt>
                <c:pt idx="1">
                  <c:v>10% BSG+70ppmE</c:v>
                </c:pt>
                <c:pt idx="2">
                  <c:v>20% BSG+70ppmE</c:v>
                </c:pt>
                <c:pt idx="3">
                  <c:v>10% BSG_fraction+70ppmE</c:v>
                </c:pt>
                <c:pt idx="4">
                  <c:v>20% BSG_fraction+70ppmE</c:v>
                </c:pt>
                <c:pt idx="5">
                  <c:v>10% BSG+140ppmE</c:v>
                </c:pt>
                <c:pt idx="6">
                  <c:v>20% BSG+140ppmE</c:v>
                </c:pt>
                <c:pt idx="7">
                  <c:v>10% BSG_fraction+140ppmE</c:v>
                </c:pt>
                <c:pt idx="8">
                  <c:v>20% BSG_fraction+140ppmE</c:v>
                </c:pt>
              </c:strCache>
            </c:strRef>
          </c:cat>
          <c:val>
            <c:numRef>
              <c:f>'6_BreadCrumbPorosity_new_model'!$AA$3:$AA$11</c:f>
              <c:numCache>
                <c:formatCode>0.0</c:formatCode>
                <c:ptCount val="9"/>
                <c:pt idx="0">
                  <c:v>0.71657862467477029</c:v>
                </c:pt>
                <c:pt idx="1">
                  <c:v>1.7349689603934855</c:v>
                </c:pt>
                <c:pt idx="2">
                  <c:v>18.552498712404002</c:v>
                </c:pt>
                <c:pt idx="3">
                  <c:v>12.27932391576592</c:v>
                </c:pt>
                <c:pt idx="4">
                  <c:v>5.5748498347329436</c:v>
                </c:pt>
                <c:pt idx="5">
                  <c:v>11.665688588560979</c:v>
                </c:pt>
                <c:pt idx="6">
                  <c:v>16.52285302091623</c:v>
                </c:pt>
                <c:pt idx="7">
                  <c:v>7.1762874902528893</c:v>
                </c:pt>
                <c:pt idx="8">
                  <c:v>15.910522359922904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E3-4252-9997-31FA57538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510992"/>
        <c:axId val="1149511472"/>
      </c:barChart>
      <c:catAx>
        <c:axId val="114951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511472"/>
        <c:crosses val="autoZero"/>
        <c:auto val="1"/>
        <c:lblAlgn val="ctr"/>
        <c:lblOffset val="100"/>
        <c:noMultiLvlLbl val="0"/>
      </c:catAx>
      <c:valAx>
        <c:axId val="114951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51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</xdr:row>
      <xdr:rowOff>0</xdr:rowOff>
    </xdr:from>
    <xdr:to>
      <xdr:col>16</xdr:col>
      <xdr:colOff>825500</xdr:colOff>
      <xdr:row>33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70B79-DC2C-449D-9846-45535AA08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</xdr:row>
      <xdr:rowOff>0</xdr:rowOff>
    </xdr:from>
    <xdr:to>
      <xdr:col>16</xdr:col>
      <xdr:colOff>825500</xdr:colOff>
      <xdr:row>33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7058-61D0-4D0F-9250-48353D3BE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B4A7E8-75AA-4D6F-8F60-1E8465239C7F}" name="Tabla8" displayName="Tabla8" ref="A1:I28" totalsRowShown="0" headerRowDxfId="7">
  <autoFilter ref="A1:I28" xr:uid="{1E558C18-AFC9-4555-9161-4AEE8E834711}"/>
  <tableColumns count="9">
    <tableColumn id="1" xr3:uid="{1B9D30CB-8EBD-4BDE-AA0C-66BF7E990EC0}" name="N"/>
    <tableColumn id="9" xr3:uid="{6A6D209E-2483-45EE-8BF3-87559CC9A35C}" name="Name"/>
    <tableColumn id="2" xr3:uid="{2C509A9F-51EC-42E2-A4D4-874A41911E2C}" name="Method of Measurement"/>
    <tableColumn id="3" xr3:uid="{DA565457-82B1-465A-BFC4-7AAF53FC98AC}" name="2D Porosity / Void Fraction (%) " dataDxfId="6"/>
    <tableColumn id="4" xr3:uid="{793DA5A1-A2CB-41C5-9A36-6BEB262AA0ED}" name="3D Corrected Estimated Vol. (%)" dataDxfId="5"/>
    <tableColumn id="5" xr3:uid="{B65E0009-0EDA-440E-B3FB-3732335DECF8}" name="Cell Count (valid pores)"/>
    <tableColumn id="6" xr3:uid="{B71523B2-111F-4569-A7CD-D384B39D8C92}" name="Cell Density (cells/cm²)"/>
    <tableColumn id="7" xr3:uid="{135314BA-E2FB-4401-AA5A-C90DB524A79B}" name="Mean Cell Area (mm² per pore)"/>
    <tableColumn id="10" xr3:uid="{B519A9D0-6A85-4411-965C-0B258D5877B6}" name="Date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3B002E-A198-4A58-B9FC-63BC84879F82}" name="Tabla83" displayName="Tabla83" ref="A1:I28" totalsRowShown="0" headerRowDxfId="3">
  <autoFilter ref="A1:I28" xr:uid="{1E558C18-AFC9-4555-9161-4AEE8E834711}"/>
  <tableColumns count="9">
    <tableColumn id="1" xr3:uid="{F14797C7-43D5-40AF-9064-C40813596BD7}" name="N"/>
    <tableColumn id="9" xr3:uid="{94C799DF-F132-45E1-BDCD-597FE63E261F}" name="Name"/>
    <tableColumn id="2" xr3:uid="{A8F50B1E-D1BF-4C5B-9BC2-1599DD967F4A}" name="Method of Measurement"/>
    <tableColumn id="3" xr3:uid="{1092342A-54FE-4839-8607-F2DF96FF3A39}" name="2D Porosity / Void Fraction (%) " dataDxfId="1"/>
    <tableColumn id="4" xr3:uid="{17D464B4-C8C2-4A4A-B729-032EACA41030}" name="3D Corrected Estimated Vol. (%)" dataDxfId="0"/>
    <tableColumn id="5" xr3:uid="{783B967B-ED2A-4A17-B3E9-3C33C2F2F9B3}" name="Cell Count (valid pores)"/>
    <tableColumn id="6" xr3:uid="{62DAA709-95F2-4853-BF5F-CA565D1C7A84}" name="Cell Density (cells/cm²)"/>
    <tableColumn id="7" xr3:uid="{FE1D2B82-50F0-4E7F-8AAD-E78A8D2EAB8D}" name="Mean Cell Area (mm² per pore)"/>
    <tableColumn id="10" xr3:uid="{80867C2D-DE14-4D65-B0DE-32FFF3EF97F1}" name="Date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D442-1F44-4B50-B294-12E2AEC861E7}">
  <dimension ref="A1:AA28"/>
  <sheetViews>
    <sheetView workbookViewId="0">
      <selection activeCell="L5" sqref="L5"/>
    </sheetView>
  </sheetViews>
  <sheetFormatPr defaultRowHeight="14.5" x14ac:dyDescent="0.35"/>
  <cols>
    <col min="1" max="1" width="5.1796875" customWidth="1"/>
    <col min="2" max="2" width="27.26953125" customWidth="1"/>
    <col min="3" max="8" width="13.7265625" customWidth="1"/>
    <col min="9" max="9" width="10.453125" style="7" bestFit="1" customWidth="1"/>
    <col min="11" max="11" width="24.54296875" bestFit="1" customWidth="1"/>
    <col min="12" max="12" width="17.26953125" bestFit="1" customWidth="1"/>
    <col min="13" max="13" width="16.36328125" bestFit="1" customWidth="1"/>
    <col min="14" max="14" width="13.54296875" bestFit="1" customWidth="1"/>
    <col min="15" max="15" width="12.6328125" bestFit="1" customWidth="1"/>
    <col min="16" max="16" width="12.90625" bestFit="1" customWidth="1"/>
    <col min="17" max="17" width="12" bestFit="1" customWidth="1"/>
    <col min="18" max="18" width="23.453125" bestFit="1" customWidth="1"/>
    <col min="19" max="19" width="13.26953125" bestFit="1" customWidth="1"/>
    <col min="20" max="20" width="22.81640625" bestFit="1" customWidth="1"/>
    <col min="21" max="21" width="16.1796875" bestFit="1" customWidth="1"/>
    <col min="23" max="23" width="14.7265625" bestFit="1" customWidth="1"/>
    <col min="24" max="24" width="11" bestFit="1" customWidth="1"/>
    <col min="25" max="25" width="13.6328125" bestFit="1" customWidth="1"/>
    <col min="26" max="26" width="14.81640625" bestFit="1" customWidth="1"/>
    <col min="27" max="27" width="17.81640625" bestFit="1" customWidth="1"/>
  </cols>
  <sheetData>
    <row r="1" spans="1:27" s="3" customFormat="1" ht="4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4" t="s">
        <v>9</v>
      </c>
      <c r="W1" s="4" t="s">
        <v>10</v>
      </c>
    </row>
    <row r="2" spans="1:27" x14ac:dyDescent="0.35">
      <c r="A2">
        <v>1</v>
      </c>
      <c r="B2" s="5" t="s">
        <v>11</v>
      </c>
      <c r="C2" t="s">
        <v>12</v>
      </c>
      <c r="D2" s="6">
        <v>0.4</v>
      </c>
      <c r="E2" s="6">
        <v>0.6</v>
      </c>
      <c r="F2">
        <v>448</v>
      </c>
      <c r="G2">
        <v>5.19</v>
      </c>
      <c r="H2">
        <v>7.7</v>
      </c>
      <c r="I2" s="7">
        <v>46087</v>
      </c>
      <c r="K2" s="8" t="s">
        <v>13</v>
      </c>
      <c r="L2" s="9" t="s">
        <v>14</v>
      </c>
      <c r="M2" s="9" t="s">
        <v>15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  <c r="T2" s="9" t="s">
        <v>22</v>
      </c>
      <c r="U2" s="9" t="s">
        <v>23</v>
      </c>
      <c r="W2" s="9" t="s">
        <v>24</v>
      </c>
      <c r="X2" s="9" t="s">
        <v>25</v>
      </c>
      <c r="Y2" s="9" t="s">
        <v>26</v>
      </c>
      <c r="Z2" s="9" t="s">
        <v>27</v>
      </c>
      <c r="AA2" s="10" t="s">
        <v>28</v>
      </c>
    </row>
    <row r="3" spans="1:27" x14ac:dyDescent="0.35">
      <c r="A3">
        <v>2</v>
      </c>
      <c r="B3" s="5" t="s">
        <v>29</v>
      </c>
      <c r="C3" t="s">
        <v>12</v>
      </c>
      <c r="D3" s="6">
        <v>0.19700000000000001</v>
      </c>
      <c r="E3" s="6">
        <v>0.29499999999999998</v>
      </c>
      <c r="F3">
        <v>393</v>
      </c>
      <c r="G3">
        <v>4.7699999999999996</v>
      </c>
      <c r="H3">
        <v>4.13</v>
      </c>
      <c r="I3" s="7">
        <v>46087</v>
      </c>
      <c r="K3" s="11" t="s">
        <v>11</v>
      </c>
      <c r="L3" s="12">
        <f>AVERAGEIF($B$2:$B$28,$K3,D$2:D$28)</f>
        <v>0.37933333333333336</v>
      </c>
      <c r="M3" s="12" cm="1">
        <f t="array" ref="M3">STDEV(IF($B$2:$B$28=$K3,D$2:D$28))</f>
        <v>3.3231511150312337E-2</v>
      </c>
      <c r="N3" s="12">
        <f>AVERAGEIF($B$2:$B$28,$K3,E$2:E$28)</f>
        <v>0.56933333333333336</v>
      </c>
      <c r="O3" s="12" cm="1">
        <f t="array" ref="O3">STDEV(IF($B$2:$B$28=$K3,E$2:E$28))</f>
        <v>4.9692387076224573E-2</v>
      </c>
      <c r="P3" s="13">
        <f>AVERAGEIF($B$2:$B$28,$K3,F$2:F$28)</f>
        <v>468.33333333333331</v>
      </c>
      <c r="Q3" s="13" cm="1">
        <f t="array" ref="Q3">STDEV(IF($B$2:$B$28=$K3,F$2:F$28))</f>
        <v>47.857427149120056</v>
      </c>
      <c r="R3" s="14">
        <f>AVERAGEIF($B$2:$B$28,$K3,G$2:G$28)</f>
        <v>5.7833333333333341</v>
      </c>
      <c r="S3" s="14" cm="1">
        <f t="array" ref="S3">STDEV(IF($B$2:$B$28=$K3,G$2:G$28))</f>
        <v>0.64508397386180116</v>
      </c>
      <c r="T3" s="14">
        <f>AVERAGEIF($B$2:$B$28,$K3,H$2:H$28)</f>
        <v>6.6533333333333333</v>
      </c>
      <c r="U3" s="14" cm="1">
        <f t="array" ref="U3">STDEV(IF($B$2:$B$28=$K3,H$2:H$28))</f>
        <v>1.2494932306072466</v>
      </c>
      <c r="W3" s="15">
        <f>IF(L3=0,0,M3/L3*100)</f>
        <v>8.7605038181842723</v>
      </c>
      <c r="X3" s="15">
        <f>IF(N3=0,0,O3/N3*100)</f>
        <v>8.728171032123754</v>
      </c>
      <c r="Y3" s="15">
        <f>IF(P3=0,0,Q3/P3*100)</f>
        <v>10.218667718673322</v>
      </c>
      <c r="Z3" s="15">
        <f>IF(R3=0,0,S3/R3*100)</f>
        <v>11.154189749771778</v>
      </c>
      <c r="AA3" s="16">
        <f>IF(T3=0,0,U3/T3*100)</f>
        <v>18.779958375860421</v>
      </c>
    </row>
    <row r="4" spans="1:27" x14ac:dyDescent="0.35">
      <c r="A4">
        <v>3</v>
      </c>
      <c r="B4" s="5" t="s">
        <v>30</v>
      </c>
      <c r="C4" t="s">
        <v>12</v>
      </c>
      <c r="D4" s="6">
        <v>0.22500000000000001</v>
      </c>
      <c r="E4" s="6">
        <v>0.33700000000000002</v>
      </c>
      <c r="F4">
        <v>198</v>
      </c>
      <c r="G4">
        <v>3.08</v>
      </c>
      <c r="H4">
        <v>7.29</v>
      </c>
      <c r="I4" s="7">
        <v>46087</v>
      </c>
      <c r="K4" s="11" t="s">
        <v>29</v>
      </c>
      <c r="L4" s="12">
        <f t="shared" ref="L4:L11" si="0">AVERAGEIF($B$2:$B$28,$K4,D$2:D$28)</f>
        <v>0.21966666666666668</v>
      </c>
      <c r="M4" s="12" cm="1">
        <f t="array" ref="M4">STDEV(IF($B$2:$B$28=$K4,D$2:D$28))</f>
        <v>2.0526405757787528E-2</v>
      </c>
      <c r="N4" s="12">
        <f t="shared" ref="N4:N11" si="1">AVERAGEIF($B$2:$B$28,$K4,E$2:E$28)</f>
        <v>0.32899999999999996</v>
      </c>
      <c r="O4" s="12" cm="1">
        <f t="array" ref="O4">STDEV(IF($B$2:$B$28=$K4,E$2:E$28))</f>
        <v>3.0789608636681308E-2</v>
      </c>
      <c r="P4" s="13">
        <f t="shared" ref="P4:P11" si="2">AVERAGEIF($B$2:$B$28,$K4,F$2:F$28)</f>
        <v>345.66666666666669</v>
      </c>
      <c r="Q4" s="13" cm="1">
        <f t="array" ref="Q4">STDEV(IF($B$2:$B$28=$K4,F$2:F$28))</f>
        <v>41.186567389542589</v>
      </c>
      <c r="R4" s="14">
        <f t="shared" ref="R4:R11" si="3">AVERAGEIF($B$2:$B$28,$K4,G$2:G$28)</f>
        <v>4.3600000000000003</v>
      </c>
      <c r="S4" s="14" cm="1">
        <f t="array" ref="S4">STDEV(IF($B$2:$B$28=$K4,G$2:G$28))</f>
        <v>0.3651027252705733</v>
      </c>
      <c r="T4" s="14">
        <f t="shared" ref="T4:T11" si="4">AVERAGEIF($B$2:$B$28,$K4,H$2:H$28)</f>
        <v>5.0799999999999992</v>
      </c>
      <c r="U4" s="14" cm="1">
        <f t="array" ref="U4">STDEV(IF($B$2:$B$28=$K4,H$2:H$28))</f>
        <v>0.8234682750416118</v>
      </c>
      <c r="W4" s="15">
        <f t="shared" ref="W4:W11" si="5">IF(L4=0,0,M4/L4*100)</f>
        <v>9.3443425301005441</v>
      </c>
      <c r="X4" s="15">
        <f t="shared" ref="X4:X11" si="6">IF(N4=0,0,O4/N4*100)</f>
        <v>9.3585436585657487</v>
      </c>
      <c r="Y4" s="15">
        <f t="shared" ref="Y4:Y11" si="7">IF(P4=0,0,Q4/P4*100)</f>
        <v>11.91511110594289</v>
      </c>
      <c r="Z4" s="15">
        <f t="shared" ref="Z4:Z11" si="8">IF(R4=0,0,S4/R4*100)</f>
        <v>8.3739157172149827</v>
      </c>
      <c r="AA4" s="16">
        <f t="shared" ref="AA4:AA11" si="9">IF(T4=0,0,U4/T4*100)</f>
        <v>16.210005414204957</v>
      </c>
    </row>
    <row r="5" spans="1:27" x14ac:dyDescent="0.35">
      <c r="A5">
        <v>4</v>
      </c>
      <c r="B5" s="5" t="s">
        <v>31</v>
      </c>
      <c r="C5" t="s">
        <v>12</v>
      </c>
      <c r="D5" s="6">
        <v>0.20599999999999999</v>
      </c>
      <c r="E5" s="6">
        <v>0.31</v>
      </c>
      <c r="F5">
        <v>437</v>
      </c>
      <c r="G5">
        <v>5.27</v>
      </c>
      <c r="H5">
        <v>3.92</v>
      </c>
      <c r="I5" s="7">
        <v>46087</v>
      </c>
      <c r="K5" s="11" t="s">
        <v>30</v>
      </c>
      <c r="L5" s="12">
        <f t="shared" si="0"/>
        <v>0.18566666666666667</v>
      </c>
      <c r="M5" s="12" cm="1">
        <f t="array" ref="M5">STDEV(IF($B$2:$B$28=$K5,D$2:D$28))</f>
        <v>3.7220066272554225E-2</v>
      </c>
      <c r="N5" s="12">
        <f t="shared" si="1"/>
        <v>0.27833333333333338</v>
      </c>
      <c r="O5" s="12" cm="1">
        <f t="array" ref="O5">STDEV(IF($B$2:$B$28=$K5,E$2:E$28))</f>
        <v>5.5365452525318735E-2</v>
      </c>
      <c r="P5" s="13">
        <f t="shared" si="2"/>
        <v>187.33333333333334</v>
      </c>
      <c r="Q5" s="13" cm="1">
        <f t="array" ref="Q5">STDEV(IF($B$2:$B$28=$K5,F$2:F$28))</f>
        <v>22.941955743426348</v>
      </c>
      <c r="R5" s="14">
        <f t="shared" si="3"/>
        <v>2.8966666666666669</v>
      </c>
      <c r="S5" s="14" cm="1">
        <f t="array" ref="S5">STDEV(IF($B$2:$B$28=$K5,G$2:G$28))</f>
        <v>0.3003886371574887</v>
      </c>
      <c r="T5" s="14">
        <f t="shared" si="4"/>
        <v>6.373333333333334</v>
      </c>
      <c r="U5" s="14" cm="1">
        <f t="array" ref="U5">STDEV(IF($B$2:$B$28=$K5,H$2:H$28))</f>
        <v>0.79399832073709642</v>
      </c>
      <c r="W5" s="15">
        <f t="shared" si="5"/>
        <v>20.046714329921485</v>
      </c>
      <c r="X5" s="15">
        <f t="shared" si="6"/>
        <v>19.891779350413913</v>
      </c>
      <c r="Y5" s="15">
        <f t="shared" si="7"/>
        <v>12.246595592576341</v>
      </c>
      <c r="Z5" s="15">
        <f t="shared" si="8"/>
        <v>10.37014857850939</v>
      </c>
      <c r="AA5" s="16">
        <f t="shared" si="9"/>
        <v>12.458132647548583</v>
      </c>
    </row>
    <row r="6" spans="1:27" x14ac:dyDescent="0.35">
      <c r="A6">
        <v>5</v>
      </c>
      <c r="B6" s="5" t="s">
        <v>32</v>
      </c>
      <c r="C6" t="s">
        <v>12</v>
      </c>
      <c r="D6" s="6">
        <v>0.20499999999999999</v>
      </c>
      <c r="E6" s="6">
        <v>0.308</v>
      </c>
      <c r="F6">
        <v>348</v>
      </c>
      <c r="G6">
        <v>5.75</v>
      </c>
      <c r="H6">
        <v>3.56</v>
      </c>
      <c r="I6" s="7">
        <v>46087</v>
      </c>
      <c r="K6" s="11" t="s">
        <v>31</v>
      </c>
      <c r="L6" s="12">
        <f t="shared" si="0"/>
        <v>0.24699999999999997</v>
      </c>
      <c r="M6" s="12" cm="1">
        <f t="array" ref="M6">STDEV(IF($B$2:$B$28=$K6,D$2:D$28))</f>
        <v>4.3139309220246322E-2</v>
      </c>
      <c r="N6" s="12">
        <f t="shared" si="1"/>
        <v>0.371</v>
      </c>
      <c r="O6" s="12" cm="1">
        <f t="array" ref="O6">STDEV(IF($B$2:$B$28=$K6,E$2:E$28))</f>
        <v>6.478425734698233E-2</v>
      </c>
      <c r="P6" s="13">
        <f t="shared" si="2"/>
        <v>400.33333333333331</v>
      </c>
      <c r="Q6" s="13" cm="1">
        <f t="array" ref="Q6">STDEV(IF($B$2:$B$28=$K6,F$2:F$28))</f>
        <v>39.20884254008697</v>
      </c>
      <c r="R6" s="14">
        <f t="shared" si="3"/>
        <v>4.79</v>
      </c>
      <c r="S6" s="14" cm="1">
        <f t="array" ref="S6">STDEV(IF($B$2:$B$28=$K6,G$2:G$28))</f>
        <v>0.50119856344566671</v>
      </c>
      <c r="T6" s="14">
        <f t="shared" si="4"/>
        <v>5.2633333333333328</v>
      </c>
      <c r="U6" s="14" cm="1">
        <f t="array" ref="U6">STDEV(IF($B$2:$B$28=$K6,H$2:H$28))</f>
        <v>1.4739176820071525</v>
      </c>
      <c r="W6" s="15">
        <f t="shared" si="5"/>
        <v>17.465307376617947</v>
      </c>
      <c r="X6" s="15">
        <f t="shared" si="6"/>
        <v>17.462063974927851</v>
      </c>
      <c r="Y6" s="15">
        <f t="shared" si="7"/>
        <v>9.7940489275820912</v>
      </c>
      <c r="Z6" s="15">
        <f t="shared" si="8"/>
        <v>10.463435562540015</v>
      </c>
      <c r="AA6" s="16">
        <f t="shared" si="9"/>
        <v>28.003502508052296</v>
      </c>
    </row>
    <row r="7" spans="1:27" x14ac:dyDescent="0.35">
      <c r="A7">
        <v>6</v>
      </c>
      <c r="B7" s="5" t="s">
        <v>33</v>
      </c>
      <c r="C7" t="s">
        <v>12</v>
      </c>
      <c r="D7" s="6">
        <v>0.19700000000000001</v>
      </c>
      <c r="E7" s="6">
        <v>0.29499999999999998</v>
      </c>
      <c r="F7">
        <v>342</v>
      </c>
      <c r="G7">
        <v>3.77</v>
      </c>
      <c r="H7">
        <v>5.22</v>
      </c>
      <c r="I7" s="7">
        <v>46087</v>
      </c>
      <c r="K7" s="11" t="s">
        <v>32</v>
      </c>
      <c r="L7" s="12">
        <f t="shared" si="0"/>
        <v>0.20266666666666666</v>
      </c>
      <c r="M7" s="12" cm="1">
        <f t="array" ref="M7">STDEV(IF($B$2:$B$28=$K7,D$2:D$28))</f>
        <v>1.069267662156362E-2</v>
      </c>
      <c r="N7" s="12">
        <f t="shared" si="1"/>
        <v>0.3036666666666667</v>
      </c>
      <c r="O7" s="12" cm="1">
        <f t="array" ref="O7">STDEV(IF($B$2:$B$28=$K7,E$2:E$28))</f>
        <v>1.5947831618540929E-2</v>
      </c>
      <c r="P7" s="13">
        <f t="shared" si="2"/>
        <v>366</v>
      </c>
      <c r="Q7" s="13" cm="1">
        <f t="array" ref="Q7">STDEV(IF($B$2:$B$28=$K7,F$2:F$28))</f>
        <v>15.874507866387544</v>
      </c>
      <c r="R7" s="14">
        <f t="shared" si="3"/>
        <v>5.7466666666666661</v>
      </c>
      <c r="S7" s="14" cm="1">
        <f t="array" ref="S7">STDEV(IF($B$2:$B$28=$K7,G$2:G$28))</f>
        <v>4.5092497528228866E-2</v>
      </c>
      <c r="T7" s="14">
        <f t="shared" si="4"/>
        <v>3.52</v>
      </c>
      <c r="U7" s="14" cm="1">
        <f t="array" ref="U7">STDEV(IF($B$2:$B$28=$K7,H$2:H$28))</f>
        <v>0.15394804318340644</v>
      </c>
      <c r="W7" s="15">
        <f t="shared" si="5"/>
        <v>5.2759917540609971</v>
      </c>
      <c r="X7" s="15">
        <f t="shared" si="6"/>
        <v>5.2517557470497014</v>
      </c>
      <c r="Y7" s="15">
        <f t="shared" si="7"/>
        <v>4.3372972312534275</v>
      </c>
      <c r="Z7" s="15">
        <f t="shared" si="8"/>
        <v>0.78467223076964387</v>
      </c>
      <c r="AA7" s="16">
        <f t="shared" si="9"/>
        <v>4.373523954074046</v>
      </c>
    </row>
    <row r="8" spans="1:27" x14ac:dyDescent="0.35">
      <c r="A8">
        <v>7</v>
      </c>
      <c r="B8" s="5" t="s">
        <v>34</v>
      </c>
      <c r="C8" t="s">
        <v>12</v>
      </c>
      <c r="D8" s="6">
        <v>0.17599999999999999</v>
      </c>
      <c r="E8" s="6">
        <v>0.26400000000000001</v>
      </c>
      <c r="F8">
        <v>340</v>
      </c>
      <c r="G8">
        <v>4.2</v>
      </c>
      <c r="H8">
        <v>4.18</v>
      </c>
      <c r="I8" s="7">
        <v>46087</v>
      </c>
      <c r="K8" s="11" t="s">
        <v>33</v>
      </c>
      <c r="L8" s="12">
        <f t="shared" si="0"/>
        <v>0.19699999999999998</v>
      </c>
      <c r="M8" s="12" cm="1">
        <f t="array" ref="M8">STDEV(IF($B$2:$B$28=$K8,D$2:D$28))</f>
        <v>3.3993498887762956E-17</v>
      </c>
      <c r="N8" s="12">
        <f t="shared" si="1"/>
        <v>0.29566666666666669</v>
      </c>
      <c r="O8" s="12" cm="1">
        <f t="array" ref="O8">STDEV(IF($B$2:$B$28=$K8,E$2:E$28))</f>
        <v>5.7735026918962634E-4</v>
      </c>
      <c r="P8" s="13">
        <f t="shared" si="2"/>
        <v>330.33333333333331</v>
      </c>
      <c r="Q8" s="13" cm="1">
        <f t="array" ref="Q8">STDEV(IF($B$2:$B$28=$K8,F$2:F$28))</f>
        <v>20.207259421636902</v>
      </c>
      <c r="R8" s="14">
        <f t="shared" si="3"/>
        <v>3.6933333333333334</v>
      </c>
      <c r="S8" s="14" cm="1">
        <f t="array" ref="S8">STDEV(IF($B$2:$B$28=$K8,G$2:G$28))</f>
        <v>0.10785793124908973</v>
      </c>
      <c r="T8" s="14">
        <f t="shared" si="4"/>
        <v>5.34</v>
      </c>
      <c r="U8" s="14" cm="1">
        <f t="array" ref="U8">STDEV(IF($B$2:$B$28=$K8,H$2:H$28))</f>
        <v>0.15874507866387524</v>
      </c>
      <c r="W8" s="15">
        <f t="shared" si="5"/>
        <v>1.7255583191757846E-14</v>
      </c>
      <c r="X8" s="15">
        <f t="shared" si="6"/>
        <v>0.19527066601678453</v>
      </c>
      <c r="Y8" s="15">
        <f t="shared" si="7"/>
        <v>6.1172329227962372</v>
      </c>
      <c r="Z8" s="15">
        <f t="shared" si="8"/>
        <v>2.9203410988020684</v>
      </c>
      <c r="AA8" s="16">
        <f t="shared" si="9"/>
        <v>2.9727542820950421</v>
      </c>
    </row>
    <row r="9" spans="1:27" x14ac:dyDescent="0.35">
      <c r="A9">
        <v>8</v>
      </c>
      <c r="B9" s="5" t="s">
        <v>35</v>
      </c>
      <c r="C9" t="s">
        <v>12</v>
      </c>
      <c r="D9" s="6">
        <v>0.161</v>
      </c>
      <c r="E9" s="6">
        <v>0.24099999999999999</v>
      </c>
      <c r="F9">
        <v>407</v>
      </c>
      <c r="G9">
        <v>5.53</v>
      </c>
      <c r="H9">
        <v>2.9</v>
      </c>
      <c r="I9" s="7">
        <v>46087</v>
      </c>
      <c r="K9" s="11" t="s">
        <v>34</v>
      </c>
      <c r="L9" s="12">
        <f t="shared" si="0"/>
        <v>0.20399999999999999</v>
      </c>
      <c r="M9" s="12" cm="1">
        <f t="array" ref="M9">STDEV(IF($B$2:$B$28=$K9,D$2:D$28))</f>
        <v>2.5238858928248037E-2</v>
      </c>
      <c r="N9" s="12">
        <f t="shared" si="1"/>
        <v>0.3056666666666667</v>
      </c>
      <c r="O9" s="12" cm="1">
        <f t="array" ref="O9">STDEV(IF($B$2:$B$28=$K9,E$2:E$28))</f>
        <v>3.7581023580170535E-2</v>
      </c>
      <c r="P9" s="13">
        <f t="shared" si="2"/>
        <v>332.33333333333331</v>
      </c>
      <c r="Q9" s="13" cm="1">
        <f t="array" ref="Q9">STDEV(IF($B$2:$B$28=$K9,F$2:F$28))</f>
        <v>10.016652800877813</v>
      </c>
      <c r="R9" s="14">
        <f t="shared" si="3"/>
        <v>4.1533333333333333</v>
      </c>
      <c r="S9" s="14" cm="1">
        <f t="array" ref="S9">STDEV(IF($B$2:$B$28=$K9,G$2:G$28))</f>
        <v>4.5092497528228866E-2</v>
      </c>
      <c r="T9" s="14">
        <f t="shared" si="4"/>
        <v>4.9033333333333333</v>
      </c>
      <c r="U9" s="14" cm="1">
        <f t="array" ref="U9">STDEV(IF($B$2:$B$28=$K9,H$2:H$28))</f>
        <v>0.65607418279744345</v>
      </c>
      <c r="W9" s="15">
        <f t="shared" si="5"/>
        <v>12.371989670709823</v>
      </c>
      <c r="X9" s="15">
        <f t="shared" si="6"/>
        <v>12.294773254145213</v>
      </c>
      <c r="Y9" s="15">
        <f t="shared" si="7"/>
        <v>3.0140379541257212</v>
      </c>
      <c r="Z9" s="15">
        <f t="shared" si="8"/>
        <v>1.0856941619958795</v>
      </c>
      <c r="AA9" s="16">
        <f t="shared" si="9"/>
        <v>13.380166882340792</v>
      </c>
    </row>
    <row r="10" spans="1:27" x14ac:dyDescent="0.35">
      <c r="A10">
        <v>9</v>
      </c>
      <c r="B10" s="5" t="s">
        <v>36</v>
      </c>
      <c r="C10" t="s">
        <v>12</v>
      </c>
      <c r="D10" s="6">
        <v>0.186</v>
      </c>
      <c r="E10" s="6">
        <v>0.27900000000000003</v>
      </c>
      <c r="F10">
        <v>389</v>
      </c>
      <c r="G10">
        <v>5.52</v>
      </c>
      <c r="H10">
        <v>3.37</v>
      </c>
      <c r="I10" s="7">
        <v>46087</v>
      </c>
      <c r="K10" s="11" t="s">
        <v>35</v>
      </c>
      <c r="L10" s="12">
        <f t="shared" si="0"/>
        <v>0.16466666666666666</v>
      </c>
      <c r="M10" s="12" cm="1">
        <f t="array" ref="M10">STDEV(IF($B$2:$B$28=$K10,D$2:D$28))</f>
        <v>3.2145502536643214E-3</v>
      </c>
      <c r="N10" s="12">
        <f t="shared" si="1"/>
        <v>0.24733333333333332</v>
      </c>
      <c r="O10" s="12" cm="1">
        <f t="array" ref="O10">STDEV(IF($B$2:$B$28=$K10,E$2:E$28))</f>
        <v>5.5075705472861069E-3</v>
      </c>
      <c r="P10" s="13">
        <f t="shared" si="2"/>
        <v>393</v>
      </c>
      <c r="Q10" s="13" cm="1">
        <f t="array" ref="Q10">STDEV(IF($B$2:$B$28=$K10,F$2:F$28))</f>
        <v>20.074859899884732</v>
      </c>
      <c r="R10" s="14">
        <f t="shared" si="3"/>
        <v>5.69</v>
      </c>
      <c r="S10" s="14" cm="1">
        <f t="array" ref="S10">STDEV(IF($B$2:$B$28=$K10,G$2:G$28))</f>
        <v>0.2351595203260968</v>
      </c>
      <c r="T10" s="14">
        <f t="shared" si="4"/>
        <v>2.8933333333333331</v>
      </c>
      <c r="U10" s="14" cm="1">
        <f t="array" ref="U10">STDEV(IF($B$2:$B$28=$K10,H$2:H$28))</f>
        <v>9.0184995056457953E-2</v>
      </c>
      <c r="W10" s="15">
        <f t="shared" si="5"/>
        <v>1.9521560244925029</v>
      </c>
      <c r="X10" s="15">
        <f t="shared" si="6"/>
        <v>2.226780544724841</v>
      </c>
      <c r="Y10" s="15">
        <f t="shared" si="7"/>
        <v>5.1081068447543849</v>
      </c>
      <c r="Z10" s="15">
        <f t="shared" si="8"/>
        <v>4.1328562447468675</v>
      </c>
      <c r="AA10" s="16">
        <f t="shared" si="9"/>
        <v>3.1169929166978561</v>
      </c>
    </row>
    <row r="11" spans="1:27" x14ac:dyDescent="0.35">
      <c r="A11">
        <v>1</v>
      </c>
      <c r="B11" s="5" t="s">
        <v>11</v>
      </c>
      <c r="C11" t="s">
        <v>12</v>
      </c>
      <c r="D11" s="6">
        <v>0.34100000000000003</v>
      </c>
      <c r="E11" s="6">
        <v>0.51200000000000001</v>
      </c>
      <c r="F11">
        <v>523</v>
      </c>
      <c r="G11">
        <v>6.47</v>
      </c>
      <c r="H11">
        <v>5.27</v>
      </c>
      <c r="I11" s="7">
        <v>46138</v>
      </c>
      <c r="K11" s="17" t="s">
        <v>36</v>
      </c>
      <c r="L11" s="18">
        <f t="shared" si="0"/>
        <v>0.18400000000000002</v>
      </c>
      <c r="M11" s="18" cm="1">
        <f t="array" ref="M11">STDEV(IF($B$2:$B$28=$K11,D$2:D$28))</f>
        <v>5.2915026221291859E-3</v>
      </c>
      <c r="N11" s="18">
        <f t="shared" si="1"/>
        <v>0.27600000000000002</v>
      </c>
      <c r="O11" s="18" cm="1">
        <f t="array" ref="O11">STDEV(IF($B$2:$B$28=$K11,E$2:E$28))</f>
        <v>8.8881944173155748E-3</v>
      </c>
      <c r="P11" s="19">
        <f t="shared" si="2"/>
        <v>410</v>
      </c>
      <c r="Q11" s="19" cm="1">
        <f t="array" ref="Q11">STDEV(IF($B$2:$B$28=$K11,F$2:F$28))</f>
        <v>18.248287590894659</v>
      </c>
      <c r="R11" s="20">
        <f t="shared" si="3"/>
        <v>5.6066666666666665</v>
      </c>
      <c r="S11" s="20" cm="1">
        <f t="array" ref="S11">STDEV(IF($B$2:$B$28=$K11,G$2:G$28))</f>
        <v>7.7674534651540478E-2</v>
      </c>
      <c r="T11" s="20">
        <f t="shared" si="4"/>
        <v>3.2833333333333332</v>
      </c>
      <c r="U11" s="20" cm="1">
        <f t="array" ref="U11">STDEV(IF($B$2:$B$28=$K11,H$2:H$28))</f>
        <v>0.10969655114602883</v>
      </c>
      <c r="W11" s="21">
        <f t="shared" si="5"/>
        <v>2.8758166424615137</v>
      </c>
      <c r="X11" s="21">
        <f t="shared" si="6"/>
        <v>3.2203602961288311</v>
      </c>
      <c r="Y11" s="21">
        <f t="shared" si="7"/>
        <v>4.4508018514377214</v>
      </c>
      <c r="Z11" s="21">
        <f t="shared" si="8"/>
        <v>1.3853959807052405</v>
      </c>
      <c r="AA11" s="22">
        <f t="shared" si="9"/>
        <v>3.341011710031335</v>
      </c>
    </row>
    <row r="12" spans="1:27" x14ac:dyDescent="0.35">
      <c r="A12">
        <v>2</v>
      </c>
      <c r="B12" s="5" t="s">
        <v>29</v>
      </c>
      <c r="C12" t="s">
        <v>12</v>
      </c>
      <c r="D12" s="6">
        <v>0.23699999999999999</v>
      </c>
      <c r="E12" s="6">
        <v>0.35499999999999998</v>
      </c>
      <c r="F12">
        <v>326</v>
      </c>
      <c r="G12">
        <v>4.24</v>
      </c>
      <c r="H12">
        <v>5.59</v>
      </c>
      <c r="I12" s="7">
        <v>46138</v>
      </c>
    </row>
    <row r="13" spans="1:27" x14ac:dyDescent="0.35">
      <c r="A13">
        <v>3</v>
      </c>
      <c r="B13" s="5" t="s">
        <v>30</v>
      </c>
      <c r="C13" t="s">
        <v>12</v>
      </c>
      <c r="D13" s="6">
        <v>0.18099999999999999</v>
      </c>
      <c r="E13" s="6">
        <v>0.27100000000000002</v>
      </c>
      <c r="F13">
        <v>203</v>
      </c>
      <c r="G13">
        <v>3.06</v>
      </c>
      <c r="H13">
        <v>5.9</v>
      </c>
      <c r="I13" s="7">
        <v>46138</v>
      </c>
    </row>
    <row r="14" spans="1:27" x14ac:dyDescent="0.35">
      <c r="A14">
        <v>4</v>
      </c>
      <c r="B14" s="5" t="s">
        <v>31</v>
      </c>
      <c r="C14" t="s">
        <v>12</v>
      </c>
      <c r="D14" s="6">
        <v>0.24299999999999999</v>
      </c>
      <c r="E14" s="6">
        <v>0.36399999999999999</v>
      </c>
      <c r="F14">
        <v>405</v>
      </c>
      <c r="G14">
        <v>4.83</v>
      </c>
      <c r="H14">
        <v>5.03</v>
      </c>
      <c r="I14" s="7">
        <v>46138</v>
      </c>
    </row>
    <row r="15" spans="1:27" x14ac:dyDescent="0.35">
      <c r="A15">
        <v>5</v>
      </c>
      <c r="B15" s="5" t="s">
        <v>32</v>
      </c>
      <c r="C15" t="s">
        <v>12</v>
      </c>
      <c r="D15" s="6">
        <v>0.191</v>
      </c>
      <c r="E15" s="6">
        <v>0.28599999999999998</v>
      </c>
      <c r="F15">
        <v>378</v>
      </c>
      <c r="G15">
        <v>5.7</v>
      </c>
      <c r="H15">
        <v>3.35</v>
      </c>
      <c r="I15" s="7">
        <v>46138</v>
      </c>
    </row>
    <row r="16" spans="1:27" x14ac:dyDescent="0.35">
      <c r="A16">
        <v>6</v>
      </c>
      <c r="B16" s="5" t="s">
        <v>33</v>
      </c>
      <c r="C16" t="s">
        <v>12</v>
      </c>
      <c r="D16" s="6">
        <v>0.19700000000000001</v>
      </c>
      <c r="E16" s="6">
        <v>0.29599999999999999</v>
      </c>
      <c r="F16">
        <v>342</v>
      </c>
      <c r="G16">
        <v>3.57</v>
      </c>
      <c r="H16">
        <v>5.52</v>
      </c>
      <c r="I16" s="7">
        <v>46138</v>
      </c>
    </row>
    <row r="17" spans="1:9" x14ac:dyDescent="0.35">
      <c r="A17">
        <v>7</v>
      </c>
      <c r="B17" s="5" t="s">
        <v>34</v>
      </c>
      <c r="C17" t="s">
        <v>12</v>
      </c>
      <c r="D17" s="6">
        <v>0.22500000000000001</v>
      </c>
      <c r="E17" s="6">
        <v>0.33700000000000002</v>
      </c>
      <c r="F17">
        <v>321</v>
      </c>
      <c r="G17">
        <v>4.1100000000000003</v>
      </c>
      <c r="H17">
        <v>5.46</v>
      </c>
      <c r="I17" s="7">
        <v>46138</v>
      </c>
    </row>
    <row r="18" spans="1:9" x14ac:dyDescent="0.35">
      <c r="A18">
        <v>8</v>
      </c>
      <c r="B18" s="5" t="s">
        <v>35</v>
      </c>
      <c r="C18" t="s">
        <v>12</v>
      </c>
      <c r="D18" s="6">
        <v>0.16700000000000001</v>
      </c>
      <c r="E18" s="6">
        <v>0.251</v>
      </c>
      <c r="F18">
        <v>402</v>
      </c>
      <c r="G18">
        <v>5.96</v>
      </c>
      <c r="H18">
        <v>2.8</v>
      </c>
      <c r="I18" s="7">
        <v>46138</v>
      </c>
    </row>
    <row r="19" spans="1:9" x14ac:dyDescent="0.35">
      <c r="A19">
        <v>9</v>
      </c>
      <c r="B19" s="5" t="s">
        <v>36</v>
      </c>
      <c r="C19" t="s">
        <v>12</v>
      </c>
      <c r="D19" s="6">
        <v>0.188</v>
      </c>
      <c r="E19" s="6">
        <v>0.28299999999999997</v>
      </c>
      <c r="F19">
        <v>422</v>
      </c>
      <c r="G19">
        <v>5.67</v>
      </c>
      <c r="H19">
        <v>3.32</v>
      </c>
      <c r="I19" s="7">
        <v>46138</v>
      </c>
    </row>
    <row r="20" spans="1:9" x14ac:dyDescent="0.35">
      <c r="A20">
        <v>1</v>
      </c>
      <c r="B20" s="5" t="s">
        <v>11</v>
      </c>
      <c r="C20" t="s">
        <v>12</v>
      </c>
      <c r="D20" s="6">
        <v>0.39700000000000002</v>
      </c>
      <c r="E20" s="6">
        <v>0.59599999999999997</v>
      </c>
      <c r="F20">
        <v>434</v>
      </c>
      <c r="G20">
        <v>5.69</v>
      </c>
      <c r="H20">
        <v>6.99</v>
      </c>
      <c r="I20" s="7">
        <v>46139</v>
      </c>
    </row>
    <row r="21" spans="1:9" x14ac:dyDescent="0.35">
      <c r="A21">
        <v>2</v>
      </c>
      <c r="B21" s="5" t="s">
        <v>29</v>
      </c>
      <c r="C21" t="s">
        <v>12</v>
      </c>
      <c r="D21" s="6">
        <v>0.22500000000000001</v>
      </c>
      <c r="E21" s="6">
        <v>0.33700000000000002</v>
      </c>
      <c r="F21">
        <v>318</v>
      </c>
      <c r="G21">
        <v>4.07</v>
      </c>
      <c r="H21">
        <v>5.52</v>
      </c>
      <c r="I21" s="7">
        <v>46139</v>
      </c>
    </row>
    <row r="22" spans="1:9" x14ac:dyDescent="0.35">
      <c r="A22">
        <v>3</v>
      </c>
      <c r="B22" s="5" t="s">
        <v>30</v>
      </c>
      <c r="C22" t="s">
        <v>12</v>
      </c>
      <c r="D22" s="6">
        <v>0.151</v>
      </c>
      <c r="E22" s="6">
        <v>0.22700000000000001</v>
      </c>
      <c r="F22">
        <v>161</v>
      </c>
      <c r="G22">
        <v>2.5499999999999998</v>
      </c>
      <c r="H22">
        <v>5.93</v>
      </c>
      <c r="I22" s="7">
        <v>46139</v>
      </c>
    </row>
    <row r="23" spans="1:9" x14ac:dyDescent="0.35">
      <c r="A23">
        <v>4</v>
      </c>
      <c r="B23" s="5" t="s">
        <v>31</v>
      </c>
      <c r="C23" t="s">
        <v>12</v>
      </c>
      <c r="D23" s="6">
        <v>0.29199999999999998</v>
      </c>
      <c r="E23" s="6">
        <v>0.439</v>
      </c>
      <c r="F23">
        <v>359</v>
      </c>
      <c r="G23">
        <v>4.2699999999999996</v>
      </c>
      <c r="H23">
        <v>6.84</v>
      </c>
      <c r="I23" s="7">
        <v>46139</v>
      </c>
    </row>
    <row r="24" spans="1:9" x14ac:dyDescent="0.35">
      <c r="A24">
        <v>5</v>
      </c>
      <c r="B24" s="5" t="s">
        <v>32</v>
      </c>
      <c r="C24" t="s">
        <v>12</v>
      </c>
      <c r="D24" s="6">
        <v>0.21199999999999999</v>
      </c>
      <c r="E24" s="6">
        <v>0.317</v>
      </c>
      <c r="F24">
        <v>372</v>
      </c>
      <c r="G24">
        <v>5.79</v>
      </c>
      <c r="H24">
        <v>3.65</v>
      </c>
      <c r="I24" s="7">
        <v>46139</v>
      </c>
    </row>
    <row r="25" spans="1:9" x14ac:dyDescent="0.35">
      <c r="A25">
        <v>6</v>
      </c>
      <c r="B25" s="5" t="s">
        <v>33</v>
      </c>
      <c r="C25" t="s">
        <v>12</v>
      </c>
      <c r="D25" s="6">
        <v>0.19700000000000001</v>
      </c>
      <c r="E25" s="6">
        <v>0.29599999999999999</v>
      </c>
      <c r="F25">
        <v>307</v>
      </c>
      <c r="G25">
        <v>3.74</v>
      </c>
      <c r="H25">
        <v>5.28</v>
      </c>
      <c r="I25" s="7">
        <v>46139</v>
      </c>
    </row>
    <row r="26" spans="1:9" x14ac:dyDescent="0.35">
      <c r="A26">
        <v>7</v>
      </c>
      <c r="B26" s="5" t="s">
        <v>34</v>
      </c>
      <c r="C26" t="s">
        <v>12</v>
      </c>
      <c r="D26" s="6">
        <v>0.21099999999999999</v>
      </c>
      <c r="E26" s="6">
        <v>0.316</v>
      </c>
      <c r="F26">
        <v>336</v>
      </c>
      <c r="G26">
        <v>4.1500000000000004</v>
      </c>
      <c r="H26">
        <v>5.07</v>
      </c>
      <c r="I26" s="7">
        <v>46139</v>
      </c>
    </row>
    <row r="27" spans="1:9" x14ac:dyDescent="0.35">
      <c r="A27">
        <v>8</v>
      </c>
      <c r="B27" s="5" t="s">
        <v>35</v>
      </c>
      <c r="C27" t="s">
        <v>12</v>
      </c>
      <c r="D27" s="6">
        <v>0.16600000000000001</v>
      </c>
      <c r="E27" s="6">
        <v>0.25</v>
      </c>
      <c r="F27">
        <v>370</v>
      </c>
      <c r="G27">
        <v>5.58</v>
      </c>
      <c r="H27">
        <v>2.98</v>
      </c>
      <c r="I27" s="7">
        <v>46139</v>
      </c>
    </row>
    <row r="28" spans="1:9" x14ac:dyDescent="0.35">
      <c r="A28">
        <v>9</v>
      </c>
      <c r="B28" s="5" t="s">
        <v>36</v>
      </c>
      <c r="C28" t="s">
        <v>12</v>
      </c>
      <c r="D28" s="6">
        <v>0.17799999999999999</v>
      </c>
      <c r="E28" s="6">
        <v>0.26600000000000001</v>
      </c>
      <c r="F28">
        <v>419</v>
      </c>
      <c r="G28">
        <v>5.63</v>
      </c>
      <c r="H28">
        <v>3.16</v>
      </c>
      <c r="I28" s="7">
        <v>46139</v>
      </c>
    </row>
  </sheetData>
  <conditionalFormatting sqref="W3:AA11">
    <cfRule type="colorScale" priority="1">
      <colorScale>
        <cfvo type="min"/>
        <cfvo type="num" val="1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E115-694F-4B08-92E4-BF58768FE2D3}">
  <dimension ref="A1:AA28"/>
  <sheetViews>
    <sheetView tabSelected="1" workbookViewId="0">
      <selection activeCell="W5" sqref="W5"/>
    </sheetView>
  </sheetViews>
  <sheetFormatPr defaultRowHeight="14.5" x14ac:dyDescent="0.35"/>
  <cols>
    <col min="1" max="1" width="5.1796875" customWidth="1"/>
    <col min="2" max="2" width="27.26953125" customWidth="1"/>
    <col min="3" max="8" width="13.7265625" customWidth="1"/>
    <col min="9" max="9" width="10.453125" style="7" bestFit="1" customWidth="1"/>
    <col min="11" max="11" width="24.54296875" bestFit="1" customWidth="1"/>
    <col min="12" max="12" width="17.26953125" bestFit="1" customWidth="1"/>
    <col min="13" max="13" width="16.36328125" bestFit="1" customWidth="1"/>
    <col min="14" max="14" width="13.54296875" bestFit="1" customWidth="1"/>
    <col min="15" max="15" width="12.6328125" bestFit="1" customWidth="1"/>
    <col min="16" max="16" width="12.90625" bestFit="1" customWidth="1"/>
    <col min="17" max="17" width="12" bestFit="1" customWidth="1"/>
    <col min="18" max="18" width="23.453125" bestFit="1" customWidth="1"/>
    <col min="19" max="19" width="13.26953125" bestFit="1" customWidth="1"/>
    <col min="20" max="20" width="22.81640625" bestFit="1" customWidth="1"/>
    <col min="21" max="21" width="16.1796875" bestFit="1" customWidth="1"/>
    <col min="23" max="23" width="14.7265625" bestFit="1" customWidth="1"/>
    <col min="24" max="24" width="11" bestFit="1" customWidth="1"/>
    <col min="25" max="25" width="13.6328125" bestFit="1" customWidth="1"/>
    <col min="26" max="26" width="14.81640625" bestFit="1" customWidth="1"/>
    <col min="27" max="27" width="17.81640625" bestFit="1" customWidth="1"/>
  </cols>
  <sheetData>
    <row r="1" spans="1:27" s="3" customFormat="1" ht="4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4" t="s">
        <v>9</v>
      </c>
      <c r="W1" s="4" t="s">
        <v>10</v>
      </c>
    </row>
    <row r="2" spans="1:27" x14ac:dyDescent="0.35">
      <c r="A2">
        <v>1</v>
      </c>
      <c r="B2" s="5" t="s">
        <v>11</v>
      </c>
      <c r="C2" t="s">
        <v>12</v>
      </c>
      <c r="D2" s="23">
        <v>41.45</v>
      </c>
      <c r="E2" s="23">
        <v>62.17</v>
      </c>
      <c r="F2">
        <v>822</v>
      </c>
      <c r="G2">
        <v>11.115</v>
      </c>
      <c r="H2">
        <v>3.7288999999999999</v>
      </c>
      <c r="I2" s="7">
        <v>46087</v>
      </c>
      <c r="K2" s="8" t="s">
        <v>13</v>
      </c>
      <c r="L2" s="9" t="s">
        <v>14</v>
      </c>
      <c r="M2" s="9" t="s">
        <v>15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  <c r="T2" s="9" t="s">
        <v>22</v>
      </c>
      <c r="U2" s="9" t="s">
        <v>23</v>
      </c>
      <c r="W2" s="9" t="s">
        <v>24</v>
      </c>
      <c r="X2" s="9" t="s">
        <v>25</v>
      </c>
      <c r="Y2" s="9" t="s">
        <v>26</v>
      </c>
      <c r="Z2" s="9" t="s">
        <v>27</v>
      </c>
      <c r="AA2" s="10" t="s">
        <v>28</v>
      </c>
    </row>
    <row r="3" spans="1:27" x14ac:dyDescent="0.35">
      <c r="A3">
        <v>2</v>
      </c>
      <c r="B3" s="5" t="s">
        <v>29</v>
      </c>
      <c r="C3" t="s">
        <v>12</v>
      </c>
      <c r="D3" s="23">
        <v>26.25</v>
      </c>
      <c r="E3" s="23">
        <v>39.380000000000003</v>
      </c>
      <c r="F3">
        <v>569</v>
      </c>
      <c r="G3">
        <v>7.6379999999999999</v>
      </c>
      <c r="H3">
        <v>3.4373999999999998</v>
      </c>
      <c r="I3" s="7">
        <v>46087</v>
      </c>
      <c r="K3" s="11" t="s">
        <v>11</v>
      </c>
      <c r="L3" s="12">
        <f>AVERAGEIF($B$2:$B$28,$K3,D$2:D$28)</f>
        <v>41.48</v>
      </c>
      <c r="M3" s="12" cm="1">
        <f t="array" ref="M3">STDEV(IF($B$2:$B$28=$K3,D$2:D$28))</f>
        <v>2.9999999999997584E-2</v>
      </c>
      <c r="N3" s="12">
        <f>AVERAGEIF($B$2:$B$28,$K3,E$2:E$28)</f>
        <v>62.216666666666669</v>
      </c>
      <c r="O3" s="12" cm="1">
        <f t="array" ref="O3">STDEV(IF($B$2:$B$28=$K3,E$2:E$28))</f>
        <v>4.5092497528227068E-2</v>
      </c>
      <c r="P3" s="13">
        <f>AVERAGEIF($B$2:$B$28,$K3,F$2:F$28)</f>
        <v>812.33333333333337</v>
      </c>
      <c r="Q3" s="13" cm="1">
        <f t="array" ref="Q3">STDEV(IF($B$2:$B$28=$K3,F$2:F$28))</f>
        <v>11.930353445448855</v>
      </c>
      <c r="R3" s="14">
        <f>AVERAGEIF($B$2:$B$28,$K3,G$2:G$28)</f>
        <v>11.033333333333333</v>
      </c>
      <c r="S3" s="14" cm="1">
        <f t="array" ref="S3">STDEV(IF($B$2:$B$28=$K3,G$2:G$28))</f>
        <v>7.1360586694150033E-2</v>
      </c>
      <c r="T3" s="14">
        <f>AVERAGEIF($B$2:$B$28,$K3,H$2:H$28)</f>
        <v>3.7596000000000003</v>
      </c>
      <c r="U3" s="14" cm="1">
        <f t="array" ref="U3">STDEV(IF($B$2:$B$28=$K3,H$2:H$28))</f>
        <v>2.6940489973272669E-2</v>
      </c>
      <c r="W3" s="15">
        <f>IF(L3=0,0,M3/L3*100)</f>
        <v>7.232401157183603E-2</v>
      </c>
      <c r="X3" s="15">
        <f>IF(N3=0,0,O3/N3*100)</f>
        <v>7.2476556434332276E-2</v>
      </c>
      <c r="Y3" s="15">
        <f>IF(P3=0,0,Q3/P3*100)</f>
        <v>1.4686524553281315</v>
      </c>
      <c r="Z3" s="15">
        <f>IF(R3=0,0,S3/R3*100)</f>
        <v>0.64677268907084617</v>
      </c>
      <c r="AA3" s="16">
        <f>IF(T3=0,0,U3/T3*100)</f>
        <v>0.71657862467477029</v>
      </c>
    </row>
    <row r="4" spans="1:27" x14ac:dyDescent="0.35">
      <c r="A4">
        <v>3</v>
      </c>
      <c r="B4" s="5" t="s">
        <v>30</v>
      </c>
      <c r="C4" t="s">
        <v>12</v>
      </c>
      <c r="D4" s="23">
        <v>14.95</v>
      </c>
      <c r="E4" s="23">
        <v>22.42</v>
      </c>
      <c r="F4">
        <v>276</v>
      </c>
      <c r="G4">
        <v>4.2729999999999997</v>
      </c>
      <c r="H4">
        <v>3.4982000000000002</v>
      </c>
      <c r="I4" s="7">
        <v>46087</v>
      </c>
      <c r="K4" s="11" t="s">
        <v>29</v>
      </c>
      <c r="L4" s="12">
        <f t="shared" ref="L4:L11" si="0">AVERAGEIF($B$2:$B$28,$K4,D$2:D$28)</f>
        <v>25.733333333333334</v>
      </c>
      <c r="M4" s="12" cm="1">
        <f t="array" ref="M4">STDEV(IF($B$2:$B$28=$K4,D$2:D$28))</f>
        <v>0.45081407845511279</v>
      </c>
      <c r="N4" s="12">
        <f t="shared" ref="N4:N11" si="1">AVERAGEIF($B$2:$B$28,$K4,E$2:E$28)</f>
        <v>38.603333333333332</v>
      </c>
      <c r="O4" s="12" cm="1">
        <f t="array" ref="O4">STDEV(IF($B$2:$B$28=$K4,E$2:E$28))</f>
        <v>0.67796263417192471</v>
      </c>
      <c r="P4" s="13">
        <f t="shared" ref="P4:P11" si="2">AVERAGEIF($B$2:$B$28,$K4,F$2:F$28)</f>
        <v>574</v>
      </c>
      <c r="Q4" s="13" cm="1">
        <f t="array" ref="Q4">STDEV(IF($B$2:$B$28=$K4,F$2:F$28))</f>
        <v>8.6602540378443873</v>
      </c>
      <c r="R4" s="14">
        <f t="shared" ref="R4:R11" si="3">AVERAGEIF($B$2:$B$28,$K4,G$2:G$28)</f>
        <v>7.6126666666666667</v>
      </c>
      <c r="S4" s="14" cm="1">
        <f t="array" ref="S4">STDEV(IF($B$2:$B$28=$K4,G$2:G$28))</f>
        <v>9.2635486360969577E-2</v>
      </c>
      <c r="T4" s="14">
        <f t="shared" ref="T4:T11" si="4">AVERAGEIF($B$2:$B$28,$K4,H$2:H$28)</f>
        <v>3.3809</v>
      </c>
      <c r="U4" s="14" cm="1">
        <f t="array" ref="U4">STDEV(IF($B$2:$B$28=$K4,H$2:H$28))</f>
        <v>5.8657565581943356E-2</v>
      </c>
      <c r="W4" s="15">
        <f t="shared" ref="W4:W11" si="5">IF(L4=0,0,M4/L4*100)</f>
        <v>1.7518681805250496</v>
      </c>
      <c r="X4" s="15">
        <f t="shared" ref="X4:X11" si="6">IF(N4=0,0,O4/N4*100)</f>
        <v>1.7562282208062985</v>
      </c>
      <c r="Y4" s="15">
        <f t="shared" ref="Y4:Y11" si="7">IF(P4=0,0,Q4/P4*100)</f>
        <v>1.5087550588579073</v>
      </c>
      <c r="Z4" s="15">
        <f t="shared" ref="Z4:Z11" si="8">IF(R4=0,0,S4/R4*100)</f>
        <v>1.2168598786360834</v>
      </c>
      <c r="AA4" s="16">
        <f t="shared" ref="AA4:AA11" si="9">IF(T4=0,0,U4/T4*100)</f>
        <v>1.7349689603934855</v>
      </c>
    </row>
    <row r="5" spans="1:27" x14ac:dyDescent="0.35">
      <c r="A5">
        <v>4</v>
      </c>
      <c r="B5" s="5" t="s">
        <v>31</v>
      </c>
      <c r="C5" t="s">
        <v>12</v>
      </c>
      <c r="D5" s="23">
        <v>28.16</v>
      </c>
      <c r="E5" s="23">
        <v>42.24</v>
      </c>
      <c r="F5">
        <v>633</v>
      </c>
      <c r="G5">
        <v>8.1</v>
      </c>
      <c r="H5">
        <v>3.4761000000000002</v>
      </c>
      <c r="I5" s="7">
        <v>46087</v>
      </c>
      <c r="K5" s="11" t="s">
        <v>30</v>
      </c>
      <c r="L5" s="12">
        <f t="shared" si="0"/>
        <v>19.66333333333333</v>
      </c>
      <c r="M5" s="12" cm="1">
        <f t="array" ref="M5">STDEV(IF($B$2:$B$28=$K5,D$2:D$28))</f>
        <v>5.4096333825254241</v>
      </c>
      <c r="N5" s="12">
        <f t="shared" si="1"/>
        <v>29.49666666666667</v>
      </c>
      <c r="O5" s="12" cm="1">
        <f t="array" ref="O5">STDEV(IF($B$2:$B$28=$K5,E$2:E$28))</f>
        <v>8.1188073836822223</v>
      </c>
      <c r="P5" s="13">
        <f t="shared" si="2"/>
        <v>386.66666666666669</v>
      </c>
      <c r="Q5" s="13" cm="1">
        <f t="array" ref="Q5">STDEV(IF($B$2:$B$28=$K5,F$2:F$28))</f>
        <v>96.173454410940977</v>
      </c>
      <c r="R5" s="14">
        <f t="shared" si="3"/>
        <v>6.0316666666666663</v>
      </c>
      <c r="S5" s="14" cm="1">
        <f t="array" ref="S5">STDEV(IF($B$2:$B$28=$K5,G$2:G$28))</f>
        <v>1.5314311389459663</v>
      </c>
      <c r="T5" s="14">
        <f t="shared" si="4"/>
        <v>3.2995999999999999</v>
      </c>
      <c r="U5" s="14" cm="1">
        <f t="array" ref="U5">STDEV(IF($B$2:$B$28=$K5,H$2:H$28))</f>
        <v>0.61215824751448245</v>
      </c>
      <c r="W5" s="15">
        <f t="shared" si="5"/>
        <v>27.511273347306791</v>
      </c>
      <c r="X5" s="15">
        <f t="shared" si="6"/>
        <v>27.524491073620368</v>
      </c>
      <c r="Y5" s="15">
        <f t="shared" si="7"/>
        <v>24.872445106277837</v>
      </c>
      <c r="Z5" s="15">
        <f t="shared" si="8"/>
        <v>25.389850327924286</v>
      </c>
      <c r="AA5" s="16">
        <f t="shared" si="9"/>
        <v>18.552498712404002</v>
      </c>
    </row>
    <row r="6" spans="1:27" x14ac:dyDescent="0.35">
      <c r="A6">
        <v>5</v>
      </c>
      <c r="B6" s="5" t="s">
        <v>32</v>
      </c>
      <c r="C6" t="s">
        <v>12</v>
      </c>
      <c r="D6" s="23">
        <v>23.27</v>
      </c>
      <c r="E6" s="23">
        <v>34.909999999999997</v>
      </c>
      <c r="F6">
        <v>602</v>
      </c>
      <c r="G6">
        <v>9.6460000000000008</v>
      </c>
      <c r="H6">
        <v>2.4125000000000001</v>
      </c>
      <c r="I6" s="7">
        <v>46087</v>
      </c>
      <c r="K6" s="11" t="s">
        <v>31</v>
      </c>
      <c r="L6" s="12">
        <f t="shared" si="0"/>
        <v>27.823333333333334</v>
      </c>
      <c r="M6" s="12" cm="1">
        <f t="array" ref="M6">STDEV(IF($B$2:$B$28=$K6,D$2:D$28))</f>
        <v>1.8283963829906609</v>
      </c>
      <c r="N6" s="12">
        <f t="shared" si="1"/>
        <v>41.733333333333334</v>
      </c>
      <c r="O6" s="12" cm="1">
        <f t="array" ref="O6">STDEV(IF($B$2:$B$28=$K6,E$2:E$28))</f>
        <v>2.7452929412602436</v>
      </c>
      <c r="P6" s="13">
        <f t="shared" si="2"/>
        <v>640.33333333333337</v>
      </c>
      <c r="Q6" s="13" cm="1">
        <f t="array" ref="Q6">STDEV(IF($B$2:$B$28=$K6,F$2:F$28))</f>
        <v>57.352709904008314</v>
      </c>
      <c r="R6" s="14">
        <f t="shared" si="3"/>
        <v>8.1276666666666681</v>
      </c>
      <c r="S6" s="14" cm="1">
        <f t="array" ref="S6">STDEV(IF($B$2:$B$28=$K6,G$2:G$28))</f>
        <v>0.47510454989752859</v>
      </c>
      <c r="T6" s="14">
        <f t="shared" si="4"/>
        <v>3.4394666666666667</v>
      </c>
      <c r="U6" s="14" cm="1">
        <f t="array" ref="U6">STDEV(IF($B$2:$B$28=$K6,H$2:H$28))</f>
        <v>0.42234325297479691</v>
      </c>
      <c r="W6" s="15">
        <f t="shared" si="5"/>
        <v>6.5714498010925864</v>
      </c>
      <c r="X6" s="15">
        <f t="shared" si="6"/>
        <v>6.5781779742657589</v>
      </c>
      <c r="Y6" s="15">
        <f t="shared" si="7"/>
        <v>8.9566959766801109</v>
      </c>
      <c r="Z6" s="15">
        <f t="shared" si="8"/>
        <v>5.8455220837984889</v>
      </c>
      <c r="AA6" s="16">
        <f t="shared" si="9"/>
        <v>12.27932391576592</v>
      </c>
    </row>
    <row r="7" spans="1:27" x14ac:dyDescent="0.35">
      <c r="A7">
        <v>6</v>
      </c>
      <c r="B7" s="5" t="s">
        <v>33</v>
      </c>
      <c r="C7" t="s">
        <v>12</v>
      </c>
      <c r="D7" s="23">
        <v>27.27</v>
      </c>
      <c r="E7" s="23">
        <v>40.909999999999997</v>
      </c>
      <c r="F7">
        <v>431</v>
      </c>
      <c r="G7">
        <v>5.1589999999999998</v>
      </c>
      <c r="H7">
        <v>5.2858000000000001</v>
      </c>
      <c r="I7" s="7">
        <v>46087</v>
      </c>
      <c r="K7" s="11" t="s">
        <v>32</v>
      </c>
      <c r="L7" s="12">
        <f t="shared" si="0"/>
        <v>22.756666666666664</v>
      </c>
      <c r="M7" s="12" cm="1">
        <f t="array" ref="M7">STDEV(IF($B$2:$B$28=$K7,D$2:D$28))</f>
        <v>0.80407296517998628</v>
      </c>
      <c r="N7" s="12">
        <f t="shared" si="1"/>
        <v>34.136666666666663</v>
      </c>
      <c r="O7" s="12" cm="1">
        <f t="array" ref="O7">STDEV(IF($B$2:$B$28=$K7,E$2:E$28))</f>
        <v>1.203550303615653</v>
      </c>
      <c r="P7" s="13">
        <f t="shared" si="2"/>
        <v>585.33333333333337</v>
      </c>
      <c r="Q7" s="13" cm="1">
        <f t="array" ref="Q7">STDEV(IF($B$2:$B$28=$K7,F$2:F$28))</f>
        <v>21.548395145191982</v>
      </c>
      <c r="R7" s="14">
        <f t="shared" si="3"/>
        <v>9.729000000000001</v>
      </c>
      <c r="S7" s="14" cm="1">
        <f t="array" ref="S7">STDEV(IF($B$2:$B$28=$K7,G$2:G$28))</f>
        <v>0.21017373765530237</v>
      </c>
      <c r="T7" s="14">
        <f t="shared" si="4"/>
        <v>2.3410333333333333</v>
      </c>
      <c r="U7" s="14" cm="1">
        <f t="array" ref="U7">STDEV(IF($B$2:$B$28=$K7,H$2:H$28))</f>
        <v>0.13050909291437646</v>
      </c>
      <c r="W7" s="15">
        <f t="shared" si="5"/>
        <v>3.5333512458473111</v>
      </c>
      <c r="X7" s="15">
        <f t="shared" si="6"/>
        <v>3.5256819752435886</v>
      </c>
      <c r="Y7" s="15">
        <f t="shared" si="7"/>
        <v>3.6813886922309762</v>
      </c>
      <c r="Z7" s="15">
        <f t="shared" si="8"/>
        <v>2.1602809914205197</v>
      </c>
      <c r="AA7" s="16">
        <f t="shared" si="9"/>
        <v>5.5748498347329436</v>
      </c>
    </row>
    <row r="8" spans="1:27" x14ac:dyDescent="0.35">
      <c r="A8">
        <v>7</v>
      </c>
      <c r="B8" s="5" t="s">
        <v>34</v>
      </c>
      <c r="C8" t="s">
        <v>12</v>
      </c>
      <c r="D8" s="23">
        <v>21.89</v>
      </c>
      <c r="E8" s="23">
        <v>32.83</v>
      </c>
      <c r="F8">
        <v>550</v>
      </c>
      <c r="G8">
        <v>7.1710000000000003</v>
      </c>
      <c r="H8">
        <v>3.0522</v>
      </c>
      <c r="I8" s="7">
        <v>46087</v>
      </c>
      <c r="K8" s="11" t="s">
        <v>33</v>
      </c>
      <c r="L8" s="12">
        <f t="shared" si="0"/>
        <v>24.900000000000002</v>
      </c>
      <c r="M8" s="12" cm="1">
        <f t="array" ref="M8">STDEV(IF($B$2:$B$28=$K8,D$2:D$28))</f>
        <v>2.6303421830628801</v>
      </c>
      <c r="N8" s="12">
        <f t="shared" si="1"/>
        <v>37.353333333333332</v>
      </c>
      <c r="O8" s="12" cm="1">
        <f t="array" ref="O8">STDEV(IF($B$2:$B$28=$K8,E$2:E$28))</f>
        <v>3.9513331083740981</v>
      </c>
      <c r="P8" s="13">
        <f t="shared" si="2"/>
        <v>506</v>
      </c>
      <c r="Q8" s="13" cm="1">
        <f t="array" ref="Q8">STDEV(IF($B$2:$B$28=$K8,F$2:F$28))</f>
        <v>142.20056258679148</v>
      </c>
      <c r="R8" s="14">
        <f t="shared" si="3"/>
        <v>5.1096666666666666</v>
      </c>
      <c r="S8" s="14" cm="1">
        <f t="array" ref="S8">STDEV(IF($B$2:$B$28=$K8,G$2:G$28))</f>
        <v>0.13969371257624064</v>
      </c>
      <c r="T8" s="14">
        <f t="shared" si="4"/>
        <v>4.8789000000000007</v>
      </c>
      <c r="U8" s="14" cm="1">
        <f t="array" ref="U8">STDEV(IF($B$2:$B$28=$K8,H$2:H$28))</f>
        <v>0.56915728054730164</v>
      </c>
      <c r="W8" s="15">
        <f t="shared" si="5"/>
        <v>10.563623225152128</v>
      </c>
      <c r="X8" s="15">
        <f t="shared" si="6"/>
        <v>10.578261043300282</v>
      </c>
      <c r="Y8" s="15">
        <f t="shared" si="7"/>
        <v>28.102877981579343</v>
      </c>
      <c r="Z8" s="15">
        <f t="shared" si="8"/>
        <v>2.7339104816277766</v>
      </c>
      <c r="AA8" s="16">
        <f t="shared" si="9"/>
        <v>11.665688588560979</v>
      </c>
    </row>
    <row r="9" spans="1:27" x14ac:dyDescent="0.35">
      <c r="A9">
        <v>8</v>
      </c>
      <c r="B9" s="5" t="s">
        <v>35</v>
      </c>
      <c r="C9" t="s">
        <v>12</v>
      </c>
      <c r="D9" s="23">
        <v>15.16</v>
      </c>
      <c r="E9" s="23">
        <v>22.75</v>
      </c>
      <c r="F9">
        <v>647</v>
      </c>
      <c r="G9">
        <v>9.9870000000000001</v>
      </c>
      <c r="H9">
        <v>1.5183</v>
      </c>
      <c r="I9" s="7">
        <v>46087</v>
      </c>
      <c r="K9" s="11" t="s">
        <v>34</v>
      </c>
      <c r="L9" s="12">
        <f t="shared" si="0"/>
        <v>19.386666666666667</v>
      </c>
      <c r="M9" s="12" cm="1">
        <f t="array" ref="M9">STDEV(IF($B$2:$B$28=$K9,D$2:D$28))</f>
        <v>2.7274591350436999</v>
      </c>
      <c r="N9" s="12">
        <f t="shared" si="1"/>
        <v>29.076666666666664</v>
      </c>
      <c r="O9" s="12" cm="1">
        <f t="array" ref="O9">STDEV(IF($B$2:$B$28=$K9,E$2:E$28))</f>
        <v>4.0885245912594925</v>
      </c>
      <c r="P9" s="13">
        <f t="shared" si="2"/>
        <v>565.66666666666663</v>
      </c>
      <c r="Q9" s="13" cm="1">
        <f t="array" ref="Q9">STDEV(IF($B$2:$B$28=$K9,F$2:F$28))</f>
        <v>17.7857620959388</v>
      </c>
      <c r="R9" s="14">
        <f t="shared" si="3"/>
        <v>7.4269999999999996</v>
      </c>
      <c r="S9" s="14" cm="1">
        <f t="array" ref="S9">STDEV(IF($B$2:$B$28=$K9,G$2:G$28))</f>
        <v>0.22260278524762439</v>
      </c>
      <c r="T9" s="14">
        <f t="shared" si="4"/>
        <v>2.6173999999999999</v>
      </c>
      <c r="U9" s="14" cm="1">
        <f t="array" ref="U9">STDEV(IF($B$2:$B$28=$K9,H$2:H$28))</f>
        <v>0.43246915496946137</v>
      </c>
      <c r="W9" s="15">
        <f t="shared" si="5"/>
        <v>14.068736941422111</v>
      </c>
      <c r="X9" s="15">
        <f t="shared" si="6"/>
        <v>14.061187405455094</v>
      </c>
      <c r="Y9" s="15">
        <f t="shared" si="7"/>
        <v>3.1442125095943672</v>
      </c>
      <c r="Z9" s="15">
        <f t="shared" si="8"/>
        <v>2.9972099804446533</v>
      </c>
      <c r="AA9" s="16">
        <f t="shared" si="9"/>
        <v>16.52285302091623</v>
      </c>
    </row>
    <row r="10" spans="1:27" x14ac:dyDescent="0.35">
      <c r="A10">
        <v>9</v>
      </c>
      <c r="B10" s="5" t="s">
        <v>36</v>
      </c>
      <c r="C10" t="s">
        <v>12</v>
      </c>
      <c r="D10" s="23">
        <v>19.72</v>
      </c>
      <c r="E10" s="23">
        <v>29.58</v>
      </c>
      <c r="F10">
        <v>690</v>
      </c>
      <c r="G10">
        <v>9.9730000000000008</v>
      </c>
      <c r="H10">
        <v>1.9770000000000001</v>
      </c>
      <c r="I10" s="7">
        <v>46087</v>
      </c>
      <c r="K10" s="11" t="s">
        <v>35</v>
      </c>
      <c r="L10" s="12">
        <f t="shared" si="0"/>
        <v>16.200000000000003</v>
      </c>
      <c r="M10" s="12" cm="1">
        <f t="array" ref="M10">STDEV(IF($B$2:$B$28=$K10,D$2:D$28))</f>
        <v>1.0991360243391177</v>
      </c>
      <c r="N10" s="12">
        <f t="shared" si="1"/>
        <v>24.299999999999997</v>
      </c>
      <c r="O10" s="12" cm="1">
        <f t="array" ref="O10">STDEV(IF($B$2:$B$28=$K10,E$2:E$28))</f>
        <v>1.6416150584104665</v>
      </c>
      <c r="P10" s="13">
        <f t="shared" si="2"/>
        <v>673.33333333333337</v>
      </c>
      <c r="Q10" s="13" cm="1">
        <f t="array" ref="Q10">STDEV(IF($B$2:$B$28=$K10,F$2:F$28))</f>
        <v>34.961884007206095</v>
      </c>
      <c r="R10" s="14">
        <f t="shared" si="3"/>
        <v>9.8780000000000001</v>
      </c>
      <c r="S10" s="14" cm="1">
        <f t="array" ref="S10">STDEV(IF($B$2:$B$28=$K10,G$2:G$28))</f>
        <v>0.11781765572273113</v>
      </c>
      <c r="T10" s="14">
        <f t="shared" si="4"/>
        <v>1.6402666666666665</v>
      </c>
      <c r="U10" s="14" cm="1">
        <f t="array" ref="U10">STDEV(IF($B$2:$B$28=$K10,H$2:H$28))</f>
        <v>0.11771025160678804</v>
      </c>
      <c r="W10" s="15">
        <f t="shared" si="5"/>
        <v>6.7847902736982562</v>
      </c>
      <c r="X10" s="15">
        <f t="shared" si="6"/>
        <v>6.7556175243229086</v>
      </c>
      <c r="Y10" s="15">
        <f t="shared" si="7"/>
        <v>5.1923590109712014</v>
      </c>
      <c r="Z10" s="15">
        <f t="shared" si="8"/>
        <v>1.1927278368367191</v>
      </c>
      <c r="AA10" s="16">
        <f t="shared" si="9"/>
        <v>7.1762874902528893</v>
      </c>
    </row>
    <row r="11" spans="1:27" x14ac:dyDescent="0.35">
      <c r="A11">
        <v>1</v>
      </c>
      <c r="B11" s="5" t="s">
        <v>11</v>
      </c>
      <c r="C11" t="s">
        <v>12</v>
      </c>
      <c r="D11" s="23">
        <v>41.48</v>
      </c>
      <c r="E11" s="23">
        <v>62.22</v>
      </c>
      <c r="F11">
        <v>799</v>
      </c>
      <c r="G11">
        <v>11.002000000000001</v>
      </c>
      <c r="H11">
        <v>3.7706</v>
      </c>
      <c r="I11" s="7">
        <v>46138</v>
      </c>
      <c r="K11" s="17" t="s">
        <v>36</v>
      </c>
      <c r="L11" s="18">
        <f t="shared" si="0"/>
        <v>22.683333333333334</v>
      </c>
      <c r="M11" s="18" cm="1">
        <f t="array" ref="M11">STDEV(IF($B$2:$B$28=$K11,D$2:D$28))</f>
        <v>2.8309068040706071</v>
      </c>
      <c r="N11" s="18">
        <f t="shared" si="1"/>
        <v>34.026666666666664</v>
      </c>
      <c r="O11" s="18" cm="1">
        <f t="array" ref="O11">STDEV(IF($B$2:$B$28=$K11,E$2:E$28))</f>
        <v>4.2508391328458064</v>
      </c>
      <c r="P11" s="19">
        <f t="shared" si="2"/>
        <v>676.66666666666663</v>
      </c>
      <c r="Q11" s="19" cm="1">
        <f t="array" ref="Q11">STDEV(IF($B$2:$B$28=$K11,F$2:F$28))</f>
        <v>18.147543451754931</v>
      </c>
      <c r="R11" s="20">
        <f t="shared" si="3"/>
        <v>9.7000000000000011</v>
      </c>
      <c r="S11" s="20" cm="1">
        <f t="array" ref="S11">STDEV(IF($B$2:$B$28=$K11,G$2:G$28))</f>
        <v>0.34517966336387834</v>
      </c>
      <c r="T11" s="20">
        <f t="shared" si="4"/>
        <v>2.3468666666666667</v>
      </c>
      <c r="U11" s="20" cm="1">
        <f t="array" ref="U11">STDEV(IF($B$2:$B$28=$K11,H$2:H$28))</f>
        <v>0.37339874575757737</v>
      </c>
      <c r="W11" s="21">
        <f t="shared" si="5"/>
        <v>12.480118166365644</v>
      </c>
      <c r="X11" s="21">
        <f t="shared" si="6"/>
        <v>12.492669865338382</v>
      </c>
      <c r="Y11" s="21">
        <f t="shared" si="7"/>
        <v>2.6819029731657533</v>
      </c>
      <c r="Z11" s="21">
        <f t="shared" si="8"/>
        <v>3.5585532305554466</v>
      </c>
      <c r="AA11" s="22">
        <f t="shared" si="9"/>
        <v>15.910522359922904</v>
      </c>
    </row>
    <row r="12" spans="1:27" x14ac:dyDescent="0.35">
      <c r="A12">
        <v>2</v>
      </c>
      <c r="B12" s="5" t="s">
        <v>29</v>
      </c>
      <c r="C12" t="s">
        <v>12</v>
      </c>
      <c r="D12" s="23">
        <v>25.42</v>
      </c>
      <c r="E12" s="23">
        <v>38.130000000000003</v>
      </c>
      <c r="F12">
        <v>569</v>
      </c>
      <c r="G12">
        <v>7.51</v>
      </c>
      <c r="H12">
        <v>3.3849999999999998</v>
      </c>
      <c r="I12" s="7">
        <v>46138</v>
      </c>
    </row>
    <row r="13" spans="1:27" x14ac:dyDescent="0.35">
      <c r="A13">
        <v>3</v>
      </c>
      <c r="B13" s="5" t="s">
        <v>30</v>
      </c>
      <c r="C13" t="s">
        <v>12</v>
      </c>
      <c r="D13" s="23">
        <v>25.57</v>
      </c>
      <c r="E13" s="23">
        <v>38.36</v>
      </c>
      <c r="F13">
        <v>434</v>
      </c>
      <c r="G13">
        <v>6.7510000000000003</v>
      </c>
      <c r="H13">
        <v>3.7877999999999998</v>
      </c>
      <c r="I13" s="7">
        <v>46138</v>
      </c>
    </row>
    <row r="14" spans="1:27" x14ac:dyDescent="0.35">
      <c r="A14">
        <v>4</v>
      </c>
      <c r="B14" s="5" t="s">
        <v>31</v>
      </c>
      <c r="C14" t="s">
        <v>12</v>
      </c>
      <c r="D14" s="23">
        <v>25.85</v>
      </c>
      <c r="E14" s="23">
        <v>38.770000000000003</v>
      </c>
      <c r="F14">
        <v>701</v>
      </c>
      <c r="G14">
        <v>8.6159999999999997</v>
      </c>
      <c r="H14">
        <v>3</v>
      </c>
      <c r="I14" s="7">
        <v>46138</v>
      </c>
    </row>
    <row r="15" spans="1:27" x14ac:dyDescent="0.35">
      <c r="A15">
        <v>5</v>
      </c>
      <c r="B15" s="5" t="s">
        <v>32</v>
      </c>
      <c r="C15" t="s">
        <v>12</v>
      </c>
      <c r="D15" s="23">
        <v>21.83</v>
      </c>
      <c r="E15" s="23">
        <v>32.75</v>
      </c>
      <c r="F15">
        <v>593</v>
      </c>
      <c r="G15">
        <v>9.968</v>
      </c>
      <c r="H15">
        <v>2.1903999999999999</v>
      </c>
      <c r="I15" s="7">
        <v>46138</v>
      </c>
    </row>
    <row r="16" spans="1:27" x14ac:dyDescent="0.35">
      <c r="A16">
        <v>6</v>
      </c>
      <c r="B16" s="5" t="s">
        <v>33</v>
      </c>
      <c r="C16" t="s">
        <v>12</v>
      </c>
      <c r="D16" s="23">
        <v>22.07</v>
      </c>
      <c r="E16" s="23">
        <v>33.1</v>
      </c>
      <c r="F16">
        <v>670</v>
      </c>
      <c r="G16">
        <v>5.218</v>
      </c>
      <c r="H16">
        <v>4.2285000000000004</v>
      </c>
      <c r="I16" s="7">
        <v>46138</v>
      </c>
    </row>
    <row r="17" spans="1:9" x14ac:dyDescent="0.35">
      <c r="A17">
        <v>7</v>
      </c>
      <c r="B17" s="5" t="s">
        <v>34</v>
      </c>
      <c r="C17" t="s">
        <v>12</v>
      </c>
      <c r="D17" s="23">
        <v>16.48</v>
      </c>
      <c r="E17" s="23">
        <v>24.72</v>
      </c>
      <c r="F17">
        <v>585</v>
      </c>
      <c r="G17">
        <v>7.5350000000000001</v>
      </c>
      <c r="H17">
        <v>2.1873</v>
      </c>
      <c r="I17" s="7">
        <v>46138</v>
      </c>
    </row>
    <row r="18" spans="1:9" x14ac:dyDescent="0.35">
      <c r="A18">
        <v>8</v>
      </c>
      <c r="B18" s="5" t="s">
        <v>35</v>
      </c>
      <c r="C18" t="s">
        <v>12</v>
      </c>
      <c r="D18" s="23">
        <v>17.350000000000001</v>
      </c>
      <c r="E18" s="23">
        <v>26.02</v>
      </c>
      <c r="F18">
        <v>713</v>
      </c>
      <c r="G18">
        <v>9.8940000000000001</v>
      </c>
      <c r="H18">
        <v>1.7532000000000001</v>
      </c>
      <c r="I18" s="7">
        <v>46138</v>
      </c>
    </row>
    <row r="19" spans="1:9" x14ac:dyDescent="0.35">
      <c r="A19">
        <v>9</v>
      </c>
      <c r="B19" s="5" t="s">
        <v>36</v>
      </c>
      <c r="C19" t="s">
        <v>12</v>
      </c>
      <c r="D19" s="23">
        <v>25.36</v>
      </c>
      <c r="E19" s="23">
        <v>38.049999999999997</v>
      </c>
      <c r="F19">
        <v>656</v>
      </c>
      <c r="G19">
        <v>9.3119999999999994</v>
      </c>
      <c r="H19">
        <v>2.7237</v>
      </c>
      <c r="I19" s="7">
        <v>46138</v>
      </c>
    </row>
    <row r="20" spans="1:9" x14ac:dyDescent="0.35">
      <c r="A20">
        <v>1</v>
      </c>
      <c r="B20" s="5" t="s">
        <v>11</v>
      </c>
      <c r="C20" t="s">
        <v>12</v>
      </c>
      <c r="D20" s="23">
        <v>41.51</v>
      </c>
      <c r="E20" s="23">
        <v>62.26</v>
      </c>
      <c r="F20">
        <v>816</v>
      </c>
      <c r="G20">
        <v>10.983000000000001</v>
      </c>
      <c r="H20">
        <v>3.7793000000000001</v>
      </c>
      <c r="I20" s="7">
        <v>46139</v>
      </c>
    </row>
    <row r="21" spans="1:9" x14ac:dyDescent="0.35">
      <c r="A21">
        <v>2</v>
      </c>
      <c r="B21" s="5" t="s">
        <v>29</v>
      </c>
      <c r="C21" t="s">
        <v>12</v>
      </c>
      <c r="D21" s="23">
        <v>25.53</v>
      </c>
      <c r="E21" s="23">
        <v>38.299999999999997</v>
      </c>
      <c r="F21">
        <v>584</v>
      </c>
      <c r="G21">
        <v>7.69</v>
      </c>
      <c r="H21">
        <v>3.3203</v>
      </c>
      <c r="I21" s="7">
        <v>46139</v>
      </c>
    </row>
    <row r="22" spans="1:9" x14ac:dyDescent="0.35">
      <c r="A22">
        <v>3</v>
      </c>
      <c r="B22" s="5" t="s">
        <v>30</v>
      </c>
      <c r="C22" t="s">
        <v>12</v>
      </c>
      <c r="D22" s="23">
        <v>18.47</v>
      </c>
      <c r="E22" s="23">
        <v>27.71</v>
      </c>
      <c r="F22">
        <v>450</v>
      </c>
      <c r="G22">
        <v>7.0709999999999997</v>
      </c>
      <c r="H22">
        <v>2.6128</v>
      </c>
      <c r="I22" s="7">
        <v>46139</v>
      </c>
    </row>
    <row r="23" spans="1:9" x14ac:dyDescent="0.35">
      <c r="A23">
        <v>4</v>
      </c>
      <c r="B23" s="5" t="s">
        <v>31</v>
      </c>
      <c r="C23" t="s">
        <v>12</v>
      </c>
      <c r="D23" s="23">
        <v>29.46</v>
      </c>
      <c r="E23" s="23">
        <v>44.19</v>
      </c>
      <c r="F23">
        <v>587</v>
      </c>
      <c r="G23">
        <v>7.6669999999999998</v>
      </c>
      <c r="H23">
        <v>3.8422999999999998</v>
      </c>
      <c r="I23" s="7">
        <v>46139</v>
      </c>
    </row>
    <row r="24" spans="1:9" x14ac:dyDescent="0.35">
      <c r="A24">
        <v>5</v>
      </c>
      <c r="B24" s="5" t="s">
        <v>32</v>
      </c>
      <c r="C24" t="s">
        <v>12</v>
      </c>
      <c r="D24" s="23">
        <v>23.17</v>
      </c>
      <c r="E24" s="23">
        <v>34.75</v>
      </c>
      <c r="F24">
        <v>561</v>
      </c>
      <c r="G24">
        <v>9.5730000000000004</v>
      </c>
      <c r="H24">
        <v>2.4201999999999999</v>
      </c>
      <c r="I24" s="7">
        <v>46139</v>
      </c>
    </row>
    <row r="25" spans="1:9" x14ac:dyDescent="0.35">
      <c r="A25">
        <v>6</v>
      </c>
      <c r="B25" s="5" t="s">
        <v>33</v>
      </c>
      <c r="C25" t="s">
        <v>12</v>
      </c>
      <c r="D25" s="23">
        <v>25.36</v>
      </c>
      <c r="E25" s="23">
        <v>38.049999999999997</v>
      </c>
      <c r="F25">
        <v>417</v>
      </c>
      <c r="G25">
        <v>4.952</v>
      </c>
      <c r="H25">
        <v>5.1223999999999998</v>
      </c>
      <c r="I25" s="7">
        <v>46139</v>
      </c>
    </row>
    <row r="26" spans="1:9" x14ac:dyDescent="0.35">
      <c r="A26">
        <v>7</v>
      </c>
      <c r="B26" s="5" t="s">
        <v>34</v>
      </c>
      <c r="C26" t="s">
        <v>12</v>
      </c>
      <c r="D26" s="23">
        <v>19.79</v>
      </c>
      <c r="E26" s="23">
        <v>29.68</v>
      </c>
      <c r="F26">
        <v>562</v>
      </c>
      <c r="G26">
        <v>7.5750000000000002</v>
      </c>
      <c r="H26">
        <v>2.6126999999999998</v>
      </c>
      <c r="I26" s="7">
        <v>46139</v>
      </c>
    </row>
    <row r="27" spans="1:9" x14ac:dyDescent="0.35">
      <c r="A27">
        <v>8</v>
      </c>
      <c r="B27" s="5" t="s">
        <v>35</v>
      </c>
      <c r="C27" t="s">
        <v>12</v>
      </c>
      <c r="D27" s="23">
        <v>16.09</v>
      </c>
      <c r="E27" s="23">
        <v>24.13</v>
      </c>
      <c r="F27">
        <v>660</v>
      </c>
      <c r="G27">
        <v>9.7530000000000001</v>
      </c>
      <c r="H27">
        <v>1.6493</v>
      </c>
      <c r="I27" s="7">
        <v>46139</v>
      </c>
    </row>
    <row r="28" spans="1:9" x14ac:dyDescent="0.35">
      <c r="A28">
        <v>9</v>
      </c>
      <c r="B28" s="5" t="s">
        <v>36</v>
      </c>
      <c r="C28" t="s">
        <v>12</v>
      </c>
      <c r="D28" s="23">
        <v>22.97</v>
      </c>
      <c r="E28" s="23">
        <v>34.450000000000003</v>
      </c>
      <c r="F28">
        <v>684</v>
      </c>
      <c r="G28">
        <v>9.8149999999999995</v>
      </c>
      <c r="H28">
        <v>2.3399000000000001</v>
      </c>
      <c r="I28" s="7">
        <v>46139</v>
      </c>
    </row>
  </sheetData>
  <conditionalFormatting sqref="W3:AA11">
    <cfRule type="colorScale" priority="1">
      <colorScale>
        <cfvo type="min"/>
        <cfvo type="num" val="1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6_BreadCrumbPorosity</vt:lpstr>
      <vt:lpstr>6_BreadCrumbPorosity_new_model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Buzzeo</dc:creator>
  <cp:lastModifiedBy>Lucia Buzzeo</cp:lastModifiedBy>
  <dcterms:created xsi:type="dcterms:W3CDTF">2026-04-27T16:29:25Z</dcterms:created>
  <dcterms:modified xsi:type="dcterms:W3CDTF">2026-05-03T22:53:12Z</dcterms:modified>
</cp:coreProperties>
</file>